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c1b3c3d7a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_Verified_Extract" sheetId="1" r:id="Rd57013f7978c41f5"/>
    <x:sheet xmlns:r="http://schemas.openxmlformats.org/officeDocument/2006/relationships" name="README" sheetId="2" r:id="R250dcfcc1809456e"/>
    <x:sheet xmlns:r="http://schemas.openxmlformats.org/officeDocument/2006/relationships" name="Research_Gaps" sheetId="3" r:id="Re78814f95aad4768"/>
    <x:sheet xmlns:r="http://schemas.openxmlformats.org/officeDocument/2006/relationships" name="Lighting_Ventilation" sheetId="4" r:id="R956c763f504d40ee"/>
    <x:sheet xmlns:r="http://schemas.openxmlformats.org/officeDocument/2006/relationships" name="AI_Validation_Examples" sheetId="5" r:id="R68d9049d0eda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6"/>
      </x:patternFill>
    </x:fill>
    <x:fill>
      <x:patternFill patternType="solid">
        <x:fgColor rgb="FF123B5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a2b8c6ec640d3" /><Relationship Type="http://schemas.openxmlformats.org/officeDocument/2006/relationships/theme" Target="/xl/theme/theme1.xml" Id="Re0256466cfa145b6" /><Relationship Type="http://schemas.openxmlformats.org/officeDocument/2006/relationships/sharedStrings" Target="/xl/sharedStrings.xml" Id="R696fe097ae0f400f" /><Relationship Type="http://schemas.openxmlformats.org/officeDocument/2006/relationships/worksheet" Target="/xl/worksheets/sheet1.xml" Id="Rd57013f7978c41f5" /><Relationship Type="http://schemas.openxmlformats.org/officeDocument/2006/relationships/worksheet" Target="/xl/worksheets/sheet2.xml" Id="R250dcfcc1809456e" /><Relationship Type="http://schemas.openxmlformats.org/officeDocument/2006/relationships/worksheet" Target="/xl/worksheets/sheet3.xml" Id="Re78814f95aad4768" /><Relationship Type="http://schemas.openxmlformats.org/officeDocument/2006/relationships/worksheet" Target="/xl/worksheets/sheet4.xml" Id="R956c763f504d40ee" /><Relationship Type="http://schemas.openxmlformats.org/officeDocument/2006/relationships/worksheet" Target="/xl/worksheets/sheet5.xml" Id="R68d9049d0eda4de8" /></Relationships>
</file>

<file path=xl/tables/table1.xml><?xml version="1.0" encoding="utf-8"?>
<x:table xmlns:x="http://schemas.openxmlformats.org/spreadsheetml/2006/main" id="1" name="SriLankaRules" displayName="SriLankaRules" ref="A1:N39" headerRowCount="1" totalsRowCount="0" totalsRowShown="0">
  <x:tableColumns count="14">
    <x:tableColumn id="1" name="Rule_ID"/>
    <x:tableColumn id="2" name="Category"/>
    <x:tableColumn id="3" name="Space_Type"/>
    <x:tableColumn id="4" name="Metric"/>
    <x:tableColumn id="5" name="Value"/>
    <x:tableColumn id="6" name="Unit"/>
    <x:tableColumn id="7" name="Applicability"/>
    <x:tableColumn id="8" name="Jurisdiction"/>
    <x:tableColumn id="9" name="Source_Title"/>
    <x:tableColumn id="10" name="Clause"/>
    <x:tableColumn id="11" name="Gazette_Page"/>
    <x:tableColumn id="12" name="Source_File"/>
    <x:tableColumn id="13" name="Verification_Status"/>
    <x:tableColumn id="14" name="Interpretation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ntilationRules" displayName="VentilationRules" ref="A1:J34" headerRowCount="1" totalsRowCount="0" totalsRowShown="0">
  <x:tableColumns count="10">
    <x:tableColumn id="1" name="Rule_ID"/>
    <x:tableColumn id="2" name="Element"/>
    <x:tableColumn id="3" name="Metric"/>
    <x:tableColumn id="4" name="Value"/>
    <x:tableColumn id="5" name="Unit"/>
    <x:tableColumn id="6" name="Condition"/>
    <x:tableColumn id="7" name="Source"/>
    <x:tableColumn id="8" name="Gazette_Page"/>
    <x:tableColumn id="9" name="Implementation_Note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933fb53fba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24fa435560a476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38" hidden="0" customWidth="1"/>
    <x:col min="4" max="4" width="30" hidden="0" customWidth="1"/>
    <x:col min="5" max="5" width="13" hidden="0" customWidth="1"/>
    <x:col min="6" max="6" width="18" hidden="0" customWidth="1"/>
    <x:col min="7" max="7" width="38" hidden="0" customWidth="1"/>
    <x:col min="8" max="8" width="17" hidden="0" customWidth="1"/>
    <x:col min="9" max="9" width="33" hidden="0" customWidth="1"/>
    <x:col min="10" max="10" width="32" hidden="0" customWidth="1"/>
    <x:col min="11" max="11" width="18" hidden="0" customWidth="1"/>
    <x:col min="12" max="12" width="25" hidden="0" customWidth="1"/>
    <x:col min="13" max="13" width="56" hidden="0" customWidth="1"/>
    <x:col min="14" max="14" width="63" hidden="0" customWidth="1"/>
  </x:cols>
  <x:sheetData>
    <x:row r="1" ht="32" customHeight="1">
      <x:c r="A1" s="4" t="str">
        <x:v>Rule_ID</x:v>
      </x:c>
      <x:c r="B1" s="4" t="str">
        <x:v>Category</x:v>
      </x:c>
      <x:c r="C1" s="4" t="str">
        <x:v>Space_Type</x:v>
      </x:c>
      <x:c r="D1" s="4" t="str">
        <x:v>Metric</x:v>
      </x:c>
      <x:c r="E1" s="4" t="str">
        <x:v>Value</x:v>
      </x:c>
      <x:c r="F1" s="4" t="str">
        <x:v>Unit</x:v>
      </x:c>
      <x:c r="G1" s="4" t="str">
        <x:v>Applicability</x:v>
      </x:c>
      <x:c r="H1" s="4" t="str">
        <x:v>Jurisdiction</x:v>
      </x:c>
      <x:c r="I1" s="4" t="str">
        <x:v>Source_Title</x:v>
      </x:c>
      <x:c r="J1" s="4" t="str">
        <x:v>Clause</x:v>
      </x:c>
      <x:c r="K1" s="4" t="str">
        <x:v>Gazette_Page</x:v>
      </x:c>
      <x:c r="L1" s="4" t="str">
        <x:v>Source_File</x:v>
      </x:c>
      <x:c r="M1" s="4" t="str">
        <x:v>Verification_Status</x:v>
      </x:c>
      <x:c r="N1" s="4" t="str">
        <x:v>Interpretation_Notes</x:v>
      </x:c>
    </x:row>
    <x:row r="2" ht="30" customHeight="1">
      <x:c r="A2" t="str">
        <x:v>SL-S7-01</x:v>
      </x:c>
      <x:c r="B2" t="str">
        <x:v>Room dimensions</x:v>
      </x:c>
      <x:c r="C2" t="str">
        <x:v>Single-room dwelling</x:v>
      </x:c>
      <x:c r="D2" t="str">
        <x:v>minimum_floor_area</x:v>
      </x:c>
      <x:c r="E2" t="n">
        <x:v>11</x:v>
      </x:c>
      <x:c r="F2" t="str">
        <x:v>m²</x:v>
      </x:c>
      <x:c r="G2" t="str">
        <x:v>Dwelling unit with only one room</x:v>
      </x:c>
      <x:c r="H2" t="str">
        <x:v>Sri Lanka</x:v>
      </x:c>
      <x:c r="I2" t="str">
        <x:v>Gazette 2235/54 (2021-07-08)</x:v>
      </x:c>
      <x:c r="J2" t="str">
        <x:v>Schedule 7; Regulations 65 and 75</x:v>
      </x:c>
      <x:c r="K2" t="n">
        <x:v>123</x:v>
      </x:c>
      <x:c r="L2" t="str">
        <x:v>PDF: 2235-54_E.pdf</x:v>
      </x:c>
      <x:c r="M2" t="str">
        <x:v>Source-extracted; applicability/current amendments to verify</x:v>
      </x:c>
      <x:c r="N2" t="str">
        <x:v>Do not relabel first/additional room as master bedroom without source basis</x:v>
      </x:c>
    </x:row>
    <x:row r="3" ht="30" customHeight="1">
      <x:c r="A3" t="str">
        <x:v>SL-S7-02</x:v>
      </x:c>
      <x:c r="B3" t="str">
        <x:v>Room dimensions</x:v>
      </x:c>
      <x:c r="C3" t="str">
        <x:v>Single-room dwelling</x:v>
      </x:c>
      <x:c r="D3" t="str">
        <x:v>minimum_width</x:v>
      </x:c>
      <x:c r="E3" t="n">
        <x:v>3</x:v>
      </x:c>
      <x:c r="F3" t="str">
        <x:v>m</x:v>
      </x:c>
      <x:c r="G3" t="str">
        <x:v>Dwelling unit with only one room</x:v>
      </x:c>
      <x:c r="H3" t="str">
        <x:v>Sri Lanka</x:v>
      </x:c>
      <x:c r="I3" t="str">
        <x:v>Gazette 2235/54 (2021-07-08)</x:v>
      </x:c>
      <x:c r="J3" t="str">
        <x:v>Schedule 7; Regulations 65 and 75</x:v>
      </x:c>
      <x:c r="K3" t="n">
        <x:v>123</x:v>
      </x:c>
      <x:c r="L3" t="str">
        <x:v>PDF: 2235-54_E.pdf</x:v>
      </x:c>
      <x:c r="M3" t="str">
        <x:v>Source-extracted; applicability/current amendments to verify</x:v>
      </x:c>
      <x:c r="N3" t="str">
        <x:v>Do not relabel first/additional room as master bedroom without source basis</x:v>
      </x:c>
    </x:row>
    <x:row r="4" ht="30" customHeight="1">
      <x:c r="A4" t="str">
        <x:v>SL-S7-03</x:v>
      </x:c>
      <x:c r="B4" t="str">
        <x:v>Room dimensions</x:v>
      </x:c>
      <x:c r="C4" t="str">
        <x:v>First room (multi-room dwelling)</x:v>
      </x:c>
      <x:c r="D4" t="str">
        <x:v>minimum_floor_area</x:v>
      </x:c>
      <x:c r="E4" t="n">
        <x:v>9.5</x:v>
      </x:c>
      <x:c r="F4" t="str">
        <x:v>m²</x:v>
      </x:c>
      <x:c r="G4" t="str">
        <x:v>Dwelling unit with more than one room</x:v>
      </x:c>
      <x:c r="H4" t="str">
        <x:v>Sri Lanka</x:v>
      </x:c>
      <x:c r="I4" t="str">
        <x:v>Gazette 2235/54 (2021-07-08)</x:v>
      </x:c>
      <x:c r="J4" t="str">
        <x:v>Schedule 7; Regulations 65 and 75</x:v>
      </x:c>
      <x:c r="K4" t="n">
        <x:v>123</x:v>
      </x:c>
      <x:c r="L4" t="str">
        <x:v>PDF: 2235-54_E.pdf</x:v>
      </x:c>
      <x:c r="M4" t="str">
        <x:v>Source-extracted; applicability/current amendments to verify</x:v>
      </x:c>
      <x:c r="N4" t="str">
        <x:v>Do not relabel first/additional room as master bedroom without source basis</x:v>
      </x:c>
    </x:row>
    <x:row r="5" ht="30" customHeight="1">
      <x:c r="A5" t="str">
        <x:v>SL-S7-04</x:v>
      </x:c>
      <x:c r="B5" t="str">
        <x:v>Room dimensions</x:v>
      </x:c>
      <x:c r="C5" t="str">
        <x:v>First room (multi-room dwelling)</x:v>
      </x:c>
      <x:c r="D5" t="str">
        <x:v>minimum_width</x:v>
      </x:c>
      <x:c r="E5" t="n">
        <x:v>2.5</x:v>
      </x:c>
      <x:c r="F5" t="str">
        <x:v>m</x:v>
      </x:c>
      <x:c r="G5" t="str">
        <x:v>Dwelling unit with more than one room</x:v>
      </x:c>
      <x:c r="H5" t="str">
        <x:v>Sri Lanka</x:v>
      </x:c>
      <x:c r="I5" t="str">
        <x:v>Gazette 2235/54 (2021-07-08)</x:v>
      </x:c>
      <x:c r="J5" t="str">
        <x:v>Schedule 7; Regulations 65 and 75</x:v>
      </x:c>
      <x:c r="K5" t="n">
        <x:v>123</x:v>
      </x:c>
      <x:c r="L5" t="str">
        <x:v>PDF: 2235-54_E.pdf</x:v>
      </x:c>
      <x:c r="M5" t="str">
        <x:v>Source-extracted; applicability/current amendments to verify</x:v>
      </x:c>
      <x:c r="N5" t="str">
        <x:v>Do not relabel first/additional room as master bedroom without source basis</x:v>
      </x:c>
    </x:row>
    <x:row r="6" ht="30" customHeight="1">
      <x:c r="A6" t="str">
        <x:v>SL-S7-05</x:v>
      </x:c>
      <x:c r="B6" t="str">
        <x:v>Room dimensions</x:v>
      </x:c>
      <x:c r="C6" t="str">
        <x:v>Additional room</x:v>
      </x:c>
      <x:c r="D6" t="str">
        <x:v>minimum_floor_area</x:v>
      </x:c>
      <x:c r="E6" t="n">
        <x:v>8.5</x:v>
      </x:c>
      <x:c r="F6" t="str">
        <x:v>m²</x:v>
      </x:c>
      <x:c r="G6" t="str">
        <x:v>Dwelling unit with more than one room</x:v>
      </x:c>
      <x:c r="H6" t="str">
        <x:v>Sri Lanka</x:v>
      </x:c>
      <x:c r="I6" t="str">
        <x:v>Gazette 2235/54 (2021-07-08)</x:v>
      </x:c>
      <x:c r="J6" t="str">
        <x:v>Schedule 7; Regulations 65 and 75</x:v>
      </x:c>
      <x:c r="K6" t="n">
        <x:v>123</x:v>
      </x:c>
      <x:c r="L6" t="str">
        <x:v>PDF: 2235-54_E.pdf</x:v>
      </x:c>
      <x:c r="M6" t="str">
        <x:v>Source-extracted; applicability/current amendments to verify</x:v>
      </x:c>
      <x:c r="N6" t="str">
        <x:v>Do not relabel first/additional room as master bedroom without source basis</x:v>
      </x:c>
    </x:row>
    <x:row r="7" ht="30" customHeight="1">
      <x:c r="A7" t="str">
        <x:v>SL-S7-06</x:v>
      </x:c>
      <x:c r="B7" t="str">
        <x:v>Room dimensions</x:v>
      </x:c>
      <x:c r="C7" t="str">
        <x:v>Additional room</x:v>
      </x:c>
      <x:c r="D7" t="str">
        <x:v>minimum_width</x:v>
      </x:c>
      <x:c r="E7" t="n">
        <x:v>2.5</x:v>
      </x:c>
      <x:c r="F7" t="str">
        <x:v>m</x:v>
      </x:c>
      <x:c r="G7" t="str">
        <x:v>Dwelling unit with more than one room</x:v>
      </x:c>
      <x:c r="H7" t="str">
        <x:v>Sri Lanka</x:v>
      </x:c>
      <x:c r="I7" t="str">
        <x:v>Gazette 2235/54 (2021-07-08)</x:v>
      </x:c>
      <x:c r="J7" t="str">
        <x:v>Schedule 7; Regulations 65 and 75</x:v>
      </x:c>
      <x:c r="K7" t="n">
        <x:v>123</x:v>
      </x:c>
      <x:c r="L7" t="str">
        <x:v>PDF: 2235-54_E.pdf</x:v>
      </x:c>
      <x:c r="M7" t="str">
        <x:v>Source-extracted; applicability/current amendments to verify</x:v>
      </x:c>
      <x:c r="N7" t="str">
        <x:v>Do not relabel first/additional room as master bedroom without source basis</x:v>
      </x:c>
    </x:row>
    <x:row r="8" ht="30" customHeight="1">
      <x:c r="A8" t="str">
        <x:v>SL-S7-07</x:v>
      </x:c>
      <x:c r="B8" t="str">
        <x:v>Room dimensions</x:v>
      </x:c>
      <x:c r="C8" t="str">
        <x:v>Kitchen</x:v>
      </x:c>
      <x:c r="D8" t="str">
        <x:v>minimum_floor_area</x:v>
      </x:c>
      <x:c r="E8" t="n">
        <x:v>5.5</x:v>
      </x:c>
      <x:c r="F8" t="str">
        <x:v>m²</x:v>
      </x:c>
      <x:c r="G8" t="str">
        <x:v>Residential</x:v>
      </x:c>
      <x:c r="H8" t="str">
        <x:v>Sri Lanka</x:v>
      </x:c>
      <x:c r="I8" t="str">
        <x:v>Gazette 2235/54 (2021-07-08)</x:v>
      </x:c>
      <x:c r="J8" t="str">
        <x:v>Schedule 7; Regulations 65 and 75</x:v>
      </x:c>
      <x:c r="K8" t="n">
        <x:v>123</x:v>
      </x:c>
      <x:c r="L8" t="str">
        <x:v>PDF: 2235-54_E.pdf</x:v>
      </x:c>
      <x:c r="M8" t="str">
        <x:v>Source-extracted; applicability/current amendments to verify</x:v>
      </x:c>
      <x:c r="N8" t="str">
        <x:v>Do not relabel first/additional room as master bedroom without source basis</x:v>
      </x:c>
    </x:row>
    <x:row r="9" ht="30" customHeight="1">
      <x:c r="A9" t="str">
        <x:v>SL-S7-08</x:v>
      </x:c>
      <x:c r="B9" t="str">
        <x:v>Room dimensions</x:v>
      </x:c>
      <x:c r="C9" t="str">
        <x:v>Kitchen</x:v>
      </x:c>
      <x:c r="D9" t="str">
        <x:v>minimum_width</x:v>
      </x:c>
      <x:c r="E9" t="n">
        <x:v>1.8</x:v>
      </x:c>
      <x:c r="F9" t="str">
        <x:v>m</x:v>
      </x:c>
      <x:c r="G9" t="str">
        <x:v>Residential</x:v>
      </x:c>
      <x:c r="H9" t="str">
        <x:v>Sri Lanka</x:v>
      </x:c>
      <x:c r="I9" t="str">
        <x:v>Gazette 2235/54 (2021-07-08)</x:v>
      </x:c>
      <x:c r="J9" t="str">
        <x:v>Schedule 7; Regulations 65 and 75</x:v>
      </x:c>
      <x:c r="K9" t="n">
        <x:v>123</x:v>
      </x:c>
      <x:c r="L9" t="str">
        <x:v>PDF: 2235-54_E.pdf</x:v>
      </x:c>
      <x:c r="M9" t="str">
        <x:v>Source-extracted; applicability/current amendments to verify</x:v>
      </x:c>
      <x:c r="N9" t="str">
        <x:v>Do not relabel first/additional room as master bedroom without source basis</x:v>
      </x:c>
    </x:row>
    <x:row r="10" ht="30" customHeight="1">
      <x:c r="A10" t="str">
        <x:v>SL-S7-09</x:v>
      </x:c>
      <x:c r="B10" t="str">
        <x:v>Room dimensions</x:v>
      </x:c>
      <x:c r="C10" t="str">
        <x:v>Bathroom</x:v>
      </x:c>
      <x:c r="D10" t="str">
        <x:v>minimum_floor_area</x:v>
      </x:c>
      <x:c r="E10" t="n">
        <x:v>1.7</x:v>
      </x:c>
      <x:c r="F10" t="str">
        <x:v>m²</x:v>
      </x:c>
      <x:c r="G10" t="str">
        <x:v>Residential</x:v>
      </x:c>
      <x:c r="H10" t="str">
        <x:v>Sri Lanka</x:v>
      </x:c>
      <x:c r="I10" t="str">
        <x:v>Gazette 2235/54 (2021-07-08)</x:v>
      </x:c>
      <x:c r="J10" t="str">
        <x:v>Schedule 7; Regulations 65 and 75</x:v>
      </x:c>
      <x:c r="K10" t="n">
        <x:v>123</x:v>
      </x:c>
      <x:c r="L10" t="str">
        <x:v>PDF: 2235-54_E.pdf</x:v>
      </x:c>
      <x:c r="M10" t="str">
        <x:v>Source-extracted; applicability/current amendments to verify</x:v>
      </x:c>
      <x:c r="N10" t="str">
        <x:v>Do not relabel first/additional room as master bedroom without source basis</x:v>
      </x:c>
    </x:row>
    <x:row r="11" ht="30" customHeight="1">
      <x:c r="A11" t="str">
        <x:v>SL-S7-10</x:v>
      </x:c>
      <x:c r="B11" t="str">
        <x:v>Room dimensions</x:v>
      </x:c>
      <x:c r="C11" t="str">
        <x:v>Bathroom</x:v>
      </x:c>
      <x:c r="D11" t="str">
        <x:v>minimum_width</x:v>
      </x:c>
      <x:c r="E11" t="n">
        <x:v>1</x:v>
      </x:c>
      <x:c r="F11" t="str">
        <x:v>m</x:v>
      </x:c>
      <x:c r="G11" t="str">
        <x:v>Residential</x:v>
      </x:c>
      <x:c r="H11" t="str">
        <x:v>Sri Lanka</x:v>
      </x:c>
      <x:c r="I11" t="str">
        <x:v>Gazette 2235/54 (2021-07-08)</x:v>
      </x:c>
      <x:c r="J11" t="str">
        <x:v>Schedule 7; Regulations 65 and 75</x:v>
      </x:c>
      <x:c r="K11" t="n">
        <x:v>123</x:v>
      </x:c>
      <x:c r="L11" t="str">
        <x:v>PDF: 2235-54_E.pdf</x:v>
      </x:c>
      <x:c r="M11" t="str">
        <x:v>Source-extracted; applicability/current amendments to verify</x:v>
      </x:c>
      <x:c r="N11" t="str">
        <x:v>Do not relabel first/additional room as master bedroom without source basis</x:v>
      </x:c>
    </x:row>
    <x:row r="12" ht="30" customHeight="1">
      <x:c r="A12" t="str">
        <x:v>SL-S7-11</x:v>
      </x:c>
      <x:c r="B12" t="str">
        <x:v>Room dimensions</x:v>
      </x:c>
      <x:c r="C12" t="str">
        <x:v>Toilet</x:v>
      </x:c>
      <x:c r="D12" t="str">
        <x:v>minimum_floor_area</x:v>
      </x:c>
      <x:c r="E12" t="n">
        <x:v>1.7</x:v>
      </x:c>
      <x:c r="F12" t="str">
        <x:v>m²</x:v>
      </x:c>
      <x:c r="G12" t="str">
        <x:v>Residential</x:v>
      </x:c>
      <x:c r="H12" t="str">
        <x:v>Sri Lanka</x:v>
      </x:c>
      <x:c r="I12" t="str">
        <x:v>Gazette 2235/54 (2021-07-08)</x:v>
      </x:c>
      <x:c r="J12" t="str">
        <x:v>Schedule 7; Regulations 65 and 75</x:v>
      </x:c>
      <x:c r="K12" t="n">
        <x:v>123</x:v>
      </x:c>
      <x:c r="L12" t="str">
        <x:v>PDF: 2235-54_E.pdf</x:v>
      </x:c>
      <x:c r="M12" t="str">
        <x:v>Source-extracted; applicability/current amendments to verify</x:v>
      </x:c>
      <x:c r="N12" t="str">
        <x:v>Do not relabel first/additional room as master bedroom without source basis</x:v>
      </x:c>
    </x:row>
    <x:row r="13" ht="30" customHeight="1">
      <x:c r="A13" t="str">
        <x:v>SL-S7-12</x:v>
      </x:c>
      <x:c r="B13" t="str">
        <x:v>Room dimensions</x:v>
      </x:c>
      <x:c r="C13" t="str">
        <x:v>Toilet</x:v>
      </x:c>
      <x:c r="D13" t="str">
        <x:v>minimum_width</x:v>
      </x:c>
      <x:c r="E13" t="n">
        <x:v>1</x:v>
      </x:c>
      <x:c r="F13" t="str">
        <x:v>m</x:v>
      </x:c>
      <x:c r="G13" t="str">
        <x:v>Residential</x:v>
      </x:c>
      <x:c r="H13" t="str">
        <x:v>Sri Lanka</x:v>
      </x:c>
      <x:c r="I13" t="str">
        <x:v>Gazette 2235/54 (2021-07-08)</x:v>
      </x:c>
      <x:c r="J13" t="str">
        <x:v>Schedule 7; Regulations 65 and 75</x:v>
      </x:c>
      <x:c r="K13" t="n">
        <x:v>123</x:v>
      </x:c>
      <x:c r="L13" t="str">
        <x:v>PDF: 2235-54_E.pdf</x:v>
      </x:c>
      <x:c r="M13" t="str">
        <x:v>Source-extracted; applicability/current amendments to verify</x:v>
      </x:c>
      <x:c r="N13" t="str">
        <x:v>Do not relabel first/additional room as master bedroom without source basis</x:v>
      </x:c>
    </x:row>
    <x:row r="14" ht="30" customHeight="1">
      <x:c r="A14" t="str">
        <x:v>SL-S7-13</x:v>
      </x:c>
      <x:c r="B14" t="str">
        <x:v>Room dimensions</x:v>
      </x:c>
      <x:c r="C14" t="str">
        <x:v>Combined bath and toilet</x:v>
      </x:c>
      <x:c r="D14" t="str">
        <x:v>minimum_floor_area</x:v>
      </x:c>
      <x:c r="E14" t="n">
        <x:v>2</x:v>
      </x:c>
      <x:c r="F14" t="str">
        <x:v>m²</x:v>
      </x:c>
      <x:c r="G14" t="str">
        <x:v>Residential</x:v>
      </x:c>
      <x:c r="H14" t="str">
        <x:v>Sri Lanka</x:v>
      </x:c>
      <x:c r="I14" t="str">
        <x:v>Gazette 2235/54 (2021-07-08)</x:v>
      </x:c>
      <x:c r="J14" t="str">
        <x:v>Schedule 7; Regulations 65 and 75</x:v>
      </x:c>
      <x:c r="K14" t="n">
        <x:v>123</x:v>
      </x:c>
      <x:c r="L14" t="str">
        <x:v>PDF: 2235-54_E.pdf</x:v>
      </x:c>
      <x:c r="M14" t="str">
        <x:v>Source-extracted; applicability/current amendments to verify</x:v>
      </x:c>
      <x:c r="N14" t="str">
        <x:v>Do not relabel first/additional room as master bedroom without source basis</x:v>
      </x:c>
    </x:row>
    <x:row r="15" ht="30" customHeight="1">
      <x:c r="A15" t="str">
        <x:v>SL-S7-14</x:v>
      </x:c>
      <x:c r="B15" t="str">
        <x:v>Room dimensions</x:v>
      </x:c>
      <x:c r="C15" t="str">
        <x:v>Combined bath and toilet</x:v>
      </x:c>
      <x:c r="D15" t="str">
        <x:v>minimum_width</x:v>
      </x:c>
      <x:c r="E15" t="n">
        <x:v>1.5</x:v>
      </x:c>
      <x:c r="F15" t="str">
        <x:v>m</x:v>
      </x:c>
      <x:c r="G15" t="str">
        <x:v>Residential</x:v>
      </x:c>
      <x:c r="H15" t="str">
        <x:v>Sri Lanka</x:v>
      </x:c>
      <x:c r="I15" t="str">
        <x:v>Gazette 2235/54 (2021-07-08)</x:v>
      </x:c>
      <x:c r="J15" t="str">
        <x:v>Schedule 7; Regulations 65 and 75</x:v>
      </x:c>
      <x:c r="K15" t="n">
        <x:v>123</x:v>
      </x:c>
      <x:c r="L15" t="str">
        <x:v>PDF: 2235-54_E.pdf</x:v>
      </x:c>
      <x:c r="M15" t="str">
        <x:v>Source-extracted; applicability/current amendments to verify</x:v>
      </x:c>
      <x:c r="N15" t="str">
        <x:v>Do not relabel first/additional room as master bedroom without source basis</x:v>
      </x:c>
    </x:row>
    <x:row r="16" ht="30" customHeight="1">
      <x:c r="A16" t="str">
        <x:v>SL-R67-15</x:v>
      </x:c>
      <x:c r="B16" t="str">
        <x:v>Ceiling heights</x:v>
      </x:c>
      <x:c r="C16" t="str">
        <x:v>Living room</x:v>
      </x:c>
      <x:c r="D16" t="str">
        <x:v>minimum_average_height</x:v>
      </x:c>
      <x:c r="E16" t="n">
        <x:v>2.8</x:v>
      </x:c>
      <x:c r="F16" t="str">
        <x:v>m</x:v>
      </x:c>
      <x:c r="G16" t="str">
        <x:v>Residential</x:v>
      </x:c>
      <x:c r="H16" t="str">
        <x:v>Sri Lanka</x:v>
      </x:c>
      <x:c r="I16" t="str">
        <x:v>Gazette 2235/54 (2021-07-08)</x:v>
      </x:c>
      <x:c r="J16" t="str">
        <x:v>Regulation 67(1)(a)</x:v>
      </x:c>
      <x:c r="K16" t="n">
        <x:v>19</x:v>
      </x:c>
      <x:c r="L16" t="str">
        <x:v>PDF: 2235-54_E.pdf</x:v>
      </x:c>
      <x:c r="M16" t="str">
        <x:v>Source-extracted; applicability/current amendments to verify</x:v>
      </x:c>
      <x:c r="N16" t="str"/>
    </x:row>
    <x:row r="17" ht="30" customHeight="1">
      <x:c r="A17" t="str">
        <x:v>SL-R67-16</x:v>
      </x:c>
      <x:c r="B17" t="str">
        <x:v>Ceiling heights</x:v>
      </x:c>
      <x:c r="C17" t="str">
        <x:v>Living room</x:v>
      </x:c>
      <x:c r="D17" t="str">
        <x:v>minimum_lowest_point_height</x:v>
      </x:c>
      <x:c r="E17" t="n">
        <x:v>2.4</x:v>
      </x:c>
      <x:c r="F17" t="str">
        <x:v>m</x:v>
      </x:c>
      <x:c r="G17" t="str">
        <x:v>Residential</x:v>
      </x:c>
      <x:c r="H17" t="str">
        <x:v>Sri Lanka</x:v>
      </x:c>
      <x:c r="I17" t="str">
        <x:v>Gazette 2235/54 (2021-07-08)</x:v>
      </x:c>
      <x:c r="J17" t="str">
        <x:v>Regulation 67(1)(a)</x:v>
      </x:c>
      <x:c r="K17" t="n">
        <x:v>19</x:v>
      </x:c>
      <x:c r="L17" t="str">
        <x:v>PDF: 2235-54_E.pdf</x:v>
      </x:c>
      <x:c r="M17" t="str">
        <x:v>Source-extracted; applicability/current amendments to verify</x:v>
      </x:c>
      <x:c r="N17" t="str"/>
    </x:row>
    <x:row r="18" ht="30" customHeight="1">
      <x:c r="A18" t="str">
        <x:v>SL-R67-17</x:v>
      </x:c>
      <x:c r="B18" t="str">
        <x:v>Ceiling heights</x:v>
      </x:c>
      <x:c r="C18" t="str">
        <x:v>Bedroom</x:v>
      </x:c>
      <x:c r="D18" t="str">
        <x:v>minimum_average_height</x:v>
      </x:c>
      <x:c r="E18" t="n">
        <x:v>2.8</x:v>
      </x:c>
      <x:c r="F18" t="str">
        <x:v>m</x:v>
      </x:c>
      <x:c r="G18" t="str">
        <x:v>Residential</x:v>
      </x:c>
      <x:c r="H18" t="str">
        <x:v>Sri Lanka</x:v>
      </x:c>
      <x:c r="I18" t="str">
        <x:v>Gazette 2235/54 (2021-07-08)</x:v>
      </x:c>
      <x:c r="J18" t="str">
        <x:v>Regulation 67(1)(a)</x:v>
      </x:c>
      <x:c r="K18" t="n">
        <x:v>19</x:v>
      </x:c>
      <x:c r="L18" t="str">
        <x:v>PDF: 2235-54_E.pdf</x:v>
      </x:c>
      <x:c r="M18" t="str">
        <x:v>Source-extracted; applicability/current amendments to verify</x:v>
      </x:c>
      <x:c r="N18" t="str"/>
    </x:row>
    <x:row r="19" ht="30" customHeight="1">
      <x:c r="A19" t="str">
        <x:v>SL-R67-18</x:v>
      </x:c>
      <x:c r="B19" t="str">
        <x:v>Ceiling heights</x:v>
      </x:c>
      <x:c r="C19" t="str">
        <x:v>Bedroom</x:v>
      </x:c>
      <x:c r="D19" t="str">
        <x:v>minimum_lowest_point_height</x:v>
      </x:c>
      <x:c r="E19" t="n">
        <x:v>2.4</x:v>
      </x:c>
      <x:c r="F19" t="str">
        <x:v>m</x:v>
      </x:c>
      <x:c r="G19" t="str">
        <x:v>Residential</x:v>
      </x:c>
      <x:c r="H19" t="str">
        <x:v>Sri Lanka</x:v>
      </x:c>
      <x:c r="I19" t="str">
        <x:v>Gazette 2235/54 (2021-07-08)</x:v>
      </x:c>
      <x:c r="J19" t="str">
        <x:v>Regulation 67(1)(a)</x:v>
      </x:c>
      <x:c r="K19" t="n">
        <x:v>19</x:v>
      </x:c>
      <x:c r="L19" t="str">
        <x:v>PDF: 2235-54_E.pdf</x:v>
      </x:c>
      <x:c r="M19" t="str">
        <x:v>Source-extracted; applicability/current amendments to verify</x:v>
      </x:c>
      <x:c r="N19" t="str"/>
    </x:row>
    <x:row r="20" ht="30" customHeight="1">
      <x:c r="A20" t="str">
        <x:v>SL-R67-19</x:v>
      </x:c>
      <x:c r="B20" t="str">
        <x:v>Ceiling heights</x:v>
      </x:c>
      <x:c r="C20" t="str">
        <x:v>Kitchen</x:v>
      </x:c>
      <x:c r="D20" t="str">
        <x:v>minimum_average_height</x:v>
      </x:c>
      <x:c r="E20" t="n">
        <x:v>2.8</x:v>
      </x:c>
      <x:c r="F20" t="str">
        <x:v>m</x:v>
      </x:c>
      <x:c r="G20" t="str">
        <x:v>Residential</x:v>
      </x:c>
      <x:c r="H20" t="str">
        <x:v>Sri Lanka</x:v>
      </x:c>
      <x:c r="I20" t="str">
        <x:v>Gazette 2235/54 (2021-07-08)</x:v>
      </x:c>
      <x:c r="J20" t="str">
        <x:v>Regulation 67(1)(a)</x:v>
      </x:c>
      <x:c r="K20" t="n">
        <x:v>19</x:v>
      </x:c>
      <x:c r="L20" t="str">
        <x:v>PDF: 2235-54_E.pdf</x:v>
      </x:c>
      <x:c r="M20" t="str">
        <x:v>Source-extracted; applicability/current amendments to verify</x:v>
      </x:c>
      <x:c r="N20" t="str"/>
    </x:row>
    <x:row r="21" ht="30" customHeight="1">
      <x:c r="A21" t="str">
        <x:v>SL-R67-20</x:v>
      </x:c>
      <x:c r="B21" t="str">
        <x:v>Ceiling heights</x:v>
      </x:c>
      <x:c r="C21" t="str">
        <x:v>Kitchen</x:v>
      </x:c>
      <x:c r="D21" t="str">
        <x:v>minimum_lowest_point_height</x:v>
      </x:c>
      <x:c r="E21" t="n">
        <x:v>2.4</x:v>
      </x:c>
      <x:c r="F21" t="str">
        <x:v>m</x:v>
      </x:c>
      <x:c r="G21" t="str">
        <x:v>Residential</x:v>
      </x:c>
      <x:c r="H21" t="str">
        <x:v>Sri Lanka</x:v>
      </x:c>
      <x:c r="I21" t="str">
        <x:v>Gazette 2235/54 (2021-07-08)</x:v>
      </x:c>
      <x:c r="J21" t="str">
        <x:v>Regulation 67(1)(a)</x:v>
      </x:c>
      <x:c r="K21" t="n">
        <x:v>19</x:v>
      </x:c>
      <x:c r="L21" t="str">
        <x:v>PDF: 2235-54_E.pdf</x:v>
      </x:c>
      <x:c r="M21" t="str">
        <x:v>Source-extracted; applicability/current amendments to verify</x:v>
      </x:c>
      <x:c r="N21" t="str"/>
    </x:row>
    <x:row r="22" ht="30" customHeight="1">
      <x:c r="A22" t="str">
        <x:v>SL-R67-21</x:v>
      </x:c>
      <x:c r="B22" t="str">
        <x:v>Ceiling heights</x:v>
      </x:c>
      <x:c r="C22" t="str">
        <x:v>Bathroom</x:v>
      </x:c>
      <x:c r="D22" t="str">
        <x:v>minimum_height</x:v>
      </x:c>
      <x:c r="E22" t="n">
        <x:v>2.2</x:v>
      </x:c>
      <x:c r="F22" t="str">
        <x:v>m</x:v>
      </x:c>
      <x:c r="G22" t="str">
        <x:v>Residential</x:v>
      </x:c>
      <x:c r="H22" t="str">
        <x:v>Sri Lanka</x:v>
      </x:c>
      <x:c r="I22" t="str">
        <x:v>Gazette 2235/54 (2021-07-08)</x:v>
      </x:c>
      <x:c r="J22" t="str">
        <x:v>Regulation 67(1)(b)</x:v>
      </x:c>
      <x:c r="K22" t="n">
        <x:v>19</x:v>
      </x:c>
      <x:c r="L22" t="str">
        <x:v>PDF: 2235-54_E.pdf</x:v>
      </x:c>
      <x:c r="M22" t="str">
        <x:v>Source-extracted; applicability/current amendments to verify</x:v>
      </x:c>
      <x:c r="N22" t="str"/>
    </x:row>
    <x:row r="23" ht="30" customHeight="1">
      <x:c r="A23" t="str">
        <x:v>SL-R67-22</x:v>
      </x:c>
      <x:c r="B23" t="str">
        <x:v>Ceiling heights</x:v>
      </x:c>
      <x:c r="C23" t="str">
        <x:v>Lavatory</x:v>
      </x:c>
      <x:c r="D23" t="str">
        <x:v>minimum_height</x:v>
      </x:c>
      <x:c r="E23" t="n">
        <x:v>2.2</x:v>
      </x:c>
      <x:c r="F23" t="str">
        <x:v>m</x:v>
      </x:c>
      <x:c r="G23" t="str">
        <x:v>Residential</x:v>
      </x:c>
      <x:c r="H23" t="str">
        <x:v>Sri Lanka</x:v>
      </x:c>
      <x:c r="I23" t="str">
        <x:v>Gazette 2235/54 (2021-07-08)</x:v>
      </x:c>
      <x:c r="J23" t="str">
        <x:v>Regulation 67(1)(b)</x:v>
      </x:c>
      <x:c r="K23" t="n">
        <x:v>19</x:v>
      </x:c>
      <x:c r="L23" t="str">
        <x:v>PDF: 2235-54_E.pdf</x:v>
      </x:c>
      <x:c r="M23" t="str">
        <x:v>Source-extracted; applicability/current amendments to verify</x:v>
      </x:c>
      <x:c r="N23" t="str"/>
    </x:row>
    <x:row r="24" ht="30" customHeight="1">
      <x:c r="A24" t="str">
        <x:v>SL-R67-23</x:v>
      </x:c>
      <x:c r="B24" t="str">
        <x:v>Ceiling heights</x:v>
      </x:c>
      <x:c r="C24" t="str">
        <x:v>Water closet</x:v>
      </x:c>
      <x:c r="D24" t="str">
        <x:v>minimum_height</x:v>
      </x:c>
      <x:c r="E24" t="n">
        <x:v>2.2</x:v>
      </x:c>
      <x:c r="F24" t="str">
        <x:v>m</x:v>
      </x:c>
      <x:c r="G24" t="str">
        <x:v>Residential</x:v>
      </x:c>
      <x:c r="H24" t="str">
        <x:v>Sri Lanka</x:v>
      </x:c>
      <x:c r="I24" t="str">
        <x:v>Gazette 2235/54 (2021-07-08)</x:v>
      </x:c>
      <x:c r="J24" t="str">
        <x:v>Regulation 67(1)(b)</x:v>
      </x:c>
      <x:c r="K24" t="n">
        <x:v>19</x:v>
      </x:c>
      <x:c r="L24" t="str">
        <x:v>PDF: 2235-54_E.pdf</x:v>
      </x:c>
      <x:c r="M24" t="str">
        <x:v>Source-extracted; applicability/current amendments to verify</x:v>
      </x:c>
      <x:c r="N24" t="str"/>
    </x:row>
    <x:row r="25" ht="30" customHeight="1">
      <x:c r="A25" t="str">
        <x:v>SL-R67-24</x:v>
      </x:c>
      <x:c r="B25" t="str">
        <x:v>Ceiling heights</x:v>
      </x:c>
      <x:c r="C25" t="str">
        <x:v>Veranda</x:v>
      </x:c>
      <x:c r="D25" t="str">
        <x:v>minimum_height</x:v>
      </x:c>
      <x:c r="E25" t="n">
        <x:v>2.2</x:v>
      </x:c>
      <x:c r="F25" t="str">
        <x:v>m</x:v>
      </x:c>
      <x:c r="G25" t="str">
        <x:v>Residential</x:v>
      </x:c>
      <x:c r="H25" t="str">
        <x:v>Sri Lanka</x:v>
      </x:c>
      <x:c r="I25" t="str">
        <x:v>Gazette 2235/54 (2021-07-08)</x:v>
      </x:c>
      <x:c r="J25" t="str">
        <x:v>Regulation 67(1)(b)</x:v>
      </x:c>
      <x:c r="K25" t="n">
        <x:v>19</x:v>
      </x:c>
      <x:c r="L25" t="str">
        <x:v>PDF: 2235-54_E.pdf</x:v>
      </x:c>
      <x:c r="M25" t="str">
        <x:v>Source-extracted; applicability/current amendments to verify</x:v>
      </x:c>
      <x:c r="N25" t="str"/>
    </x:row>
    <x:row r="26" ht="30" customHeight="1">
      <x:c r="A26" t="str">
        <x:v>SL-R67-25</x:v>
      </x:c>
      <x:c r="B26" t="str">
        <x:v>Ceiling heights</x:v>
      </x:c>
      <x:c r="C26" t="str">
        <x:v>Balcony</x:v>
      </x:c>
      <x:c r="D26" t="str">
        <x:v>minimum_height</x:v>
      </x:c>
      <x:c r="E26" t="n">
        <x:v>2.2</x:v>
      </x:c>
      <x:c r="F26" t="str">
        <x:v>m</x:v>
      </x:c>
      <x:c r="G26" t="str">
        <x:v>Residential</x:v>
      </x:c>
      <x:c r="H26" t="str">
        <x:v>Sri Lanka</x:v>
      </x:c>
      <x:c r="I26" t="str">
        <x:v>Gazette 2235/54 (2021-07-08)</x:v>
      </x:c>
      <x:c r="J26" t="str">
        <x:v>Regulation 67(1)(b)</x:v>
      </x:c>
      <x:c r="K26" t="n">
        <x:v>19</x:v>
      </x:c>
      <x:c r="L26" t="str">
        <x:v>PDF: 2235-54_E.pdf</x:v>
      </x:c>
      <x:c r="M26" t="str">
        <x:v>Source-extracted; applicability/current amendments to verify</x:v>
      </x:c>
      <x:c r="N26" t="str"/>
    </x:row>
    <x:row r="27" ht="30" customHeight="1">
      <x:c r="A27" t="str">
        <x:v>SL-R67-26</x:v>
      </x:c>
      <x:c r="B27" t="str">
        <x:v>Ceiling heights</x:v>
      </x:c>
      <x:c r="C27" t="str">
        <x:v>Terrace</x:v>
      </x:c>
      <x:c r="D27" t="str">
        <x:v>minimum_height</x:v>
      </x:c>
      <x:c r="E27" t="n">
        <x:v>2.2</x:v>
      </x:c>
      <x:c r="F27" t="str">
        <x:v>m</x:v>
      </x:c>
      <x:c r="G27" t="str">
        <x:v>Residential</x:v>
      </x:c>
      <x:c r="H27" t="str">
        <x:v>Sri Lanka</x:v>
      </x:c>
      <x:c r="I27" t="str">
        <x:v>Gazette 2235/54 (2021-07-08)</x:v>
      </x:c>
      <x:c r="J27" t="str">
        <x:v>Regulation 67(1)(b)</x:v>
      </x:c>
      <x:c r="K27" t="n">
        <x:v>19</x:v>
      </x:c>
      <x:c r="L27" t="str">
        <x:v>PDF: 2235-54_E.pdf</x:v>
      </x:c>
      <x:c r="M27" t="str">
        <x:v>Source-extracted; applicability/current amendments to verify</x:v>
      </x:c>
      <x:c r="N27" t="str"/>
    </x:row>
    <x:row r="28" ht="30" customHeight="1">
      <x:c r="A28" t="str">
        <x:v>SL-R67-27</x:v>
      </x:c>
      <x:c r="B28" t="str">
        <x:v>Ceiling heights</x:v>
      </x:c>
      <x:c r="C28" t="str">
        <x:v>Garage</x:v>
      </x:c>
      <x:c r="D28" t="str">
        <x:v>minimum_height</x:v>
      </x:c>
      <x:c r="E28" t="n">
        <x:v>2.2</x:v>
      </x:c>
      <x:c r="F28" t="str">
        <x:v>m</x:v>
      </x:c>
      <x:c r="G28" t="str">
        <x:v>Residential</x:v>
      </x:c>
      <x:c r="H28" t="str">
        <x:v>Sri Lanka</x:v>
      </x:c>
      <x:c r="I28" t="str">
        <x:v>Gazette 2235/54 (2021-07-08)</x:v>
      </x:c>
      <x:c r="J28" t="str">
        <x:v>Regulation 67(1)(b)</x:v>
      </x:c>
      <x:c r="K28" t="n">
        <x:v>19</x:v>
      </x:c>
      <x:c r="L28" t="str">
        <x:v>PDF: 2235-54_E.pdf</x:v>
      </x:c>
      <x:c r="M28" t="str">
        <x:v>Source-extracted; applicability/current amendments to verify</x:v>
      </x:c>
      <x:c r="N28" t="str"/>
    </x:row>
    <x:row r="29" ht="30" customHeight="1">
      <x:c r="A29" t="str">
        <x:v>SL-S8-28</x:v>
      </x:c>
      <x:c r="B29" t="str">
        <x:v>Stair dimensions</x:v>
      </x:c>
      <x:c r="C29" t="str">
        <x:v>Internal stairs serving only one upper floor</x:v>
      </x:c>
      <x:c r="D29" t="str">
        <x:v>minimum_stair_width</x:v>
      </x:c>
      <x:c r="E29" t="n">
        <x:v>750</x:v>
      </x:c>
      <x:c r="F29" t="str">
        <x:v>mm</x:v>
      </x:c>
      <x:c r="G29" t="str">
        <x:v>Category as stated in Schedule 8</x:v>
      </x:c>
      <x:c r="H29" t="str">
        <x:v>Sri Lanka</x:v>
      </x:c>
      <x:c r="I29" t="str">
        <x:v>Gazette 2235/54 (2021-07-08)</x:v>
      </x:c>
      <x:c r="J29" t="str">
        <x:v>Schedule 8; Regulation 68</x:v>
      </x:c>
      <x:c r="K29" t="n">
        <x:v>123</x:v>
      </x:c>
      <x:c r="L29" t="str">
        <x:v>PDF: 2235-54_E.pdf</x:v>
      </x:c>
      <x:c r="M29" t="str">
        <x:v>Source-extracted; applicability/current amendments to verify</x:v>
      </x:c>
      <x:c r="N29" t="str"/>
    </x:row>
    <x:row r="30" ht="30" customHeight="1">
      <x:c r="A30" t="str">
        <x:v>SL-S8-29</x:v>
      </x:c>
      <x:c r="B30" t="str">
        <x:v>Stair dimensions</x:v>
      </x:c>
      <x:c r="C30" t="str">
        <x:v>Internal stairs serving only one upper floor</x:v>
      </x:c>
      <x:c r="D30" t="str">
        <x:v>minimum_height_clearance</x:v>
      </x:c>
      <x:c r="E30" t="n">
        <x:v>2.1</x:v>
      </x:c>
      <x:c r="F30" t="str">
        <x:v>m</x:v>
      </x:c>
      <x:c r="G30" t="str">
        <x:v>Category as stated in Schedule 8</x:v>
      </x:c>
      <x:c r="H30" t="str">
        <x:v>Sri Lanka</x:v>
      </x:c>
      <x:c r="I30" t="str">
        <x:v>Gazette 2235/54 (2021-07-08)</x:v>
      </x:c>
      <x:c r="J30" t="str">
        <x:v>Schedule 8; Regulation 68</x:v>
      </x:c>
      <x:c r="K30" t="n">
        <x:v>123</x:v>
      </x:c>
      <x:c r="L30" t="str">
        <x:v>PDF: 2235-54_E.pdf</x:v>
      </x:c>
      <x:c r="M30" t="str">
        <x:v>Source-extracted; applicability/current amendments to verify</x:v>
      </x:c>
      <x:c r="N30" t="str"/>
    </x:row>
    <x:row r="31" ht="30" customHeight="1">
      <x:c r="A31" t="str">
        <x:v>SL-S8-30</x:v>
      </x:c>
      <x:c r="B31" t="str">
        <x:v>Stair dimensions</x:v>
      </x:c>
      <x:c r="C31" t="str">
        <x:v>Internal stairs serving only one upper floor</x:v>
      </x:c>
      <x:c r="D31" t="str">
        <x:v>maximum_riser</x:v>
      </x:c>
      <x:c r="E31" t="n">
        <x:v>175</x:v>
      </x:c>
      <x:c r="F31" t="str">
        <x:v>mm</x:v>
      </x:c>
      <x:c r="G31" t="str">
        <x:v>Category as stated in Schedule 8</x:v>
      </x:c>
      <x:c r="H31" t="str">
        <x:v>Sri Lanka</x:v>
      </x:c>
      <x:c r="I31" t="str">
        <x:v>Gazette 2235/54 (2021-07-08)</x:v>
      </x:c>
      <x:c r="J31" t="str">
        <x:v>Schedule 8; Regulation 68</x:v>
      </x:c>
      <x:c r="K31" t="n">
        <x:v>123</x:v>
      </x:c>
      <x:c r="L31" t="str">
        <x:v>PDF: 2235-54_E.pdf</x:v>
      </x:c>
      <x:c r="M31" t="str">
        <x:v>Source-extracted; applicability/current amendments to verify</x:v>
      </x:c>
      <x:c r="N31" t="str"/>
    </x:row>
    <x:row r="32" ht="30" customHeight="1">
      <x:c r="A32" t="str">
        <x:v>SL-S8-31</x:v>
      </x:c>
      <x:c r="B32" t="str">
        <x:v>Stair dimensions</x:v>
      </x:c>
      <x:c r="C32" t="str">
        <x:v>Internal stairs serving only one upper floor</x:v>
      </x:c>
      <x:c r="D32" t="str">
        <x:v>minimum_tread</x:v>
      </x:c>
      <x:c r="E32" t="n">
        <x:v>250</x:v>
      </x:c>
      <x:c r="F32" t="str">
        <x:v>mm</x:v>
      </x:c>
      <x:c r="G32" t="str">
        <x:v>Category as stated in Schedule 8</x:v>
      </x:c>
      <x:c r="H32" t="str">
        <x:v>Sri Lanka</x:v>
      </x:c>
      <x:c r="I32" t="str">
        <x:v>Gazette 2235/54 (2021-07-08)</x:v>
      </x:c>
      <x:c r="J32" t="str">
        <x:v>Schedule 8; Regulation 68</x:v>
      </x:c>
      <x:c r="K32" t="n">
        <x:v>123</x:v>
      </x:c>
      <x:c r="L32" t="str">
        <x:v>PDF: 2235-54_E.pdf</x:v>
      </x:c>
      <x:c r="M32" t="str">
        <x:v>Source-extracted; applicability/current amendments to verify</x:v>
      </x:c>
      <x:c r="N32" t="str"/>
    </x:row>
    <x:row r="33" ht="30" customHeight="1">
      <x:c r="A33" t="str">
        <x:v>SL-S8-32</x:v>
      </x:c>
      <x:c r="B33" t="str">
        <x:v>Stair dimensions</x:v>
      </x:c>
      <x:c r="C33" t="str">
        <x:v>Public/condominium and other stairs</x:v>
      </x:c>
      <x:c r="D33" t="str">
        <x:v>minimum_stair_width</x:v>
      </x:c>
      <x:c r="E33" t="n">
        <x:v>1050</x:v>
      </x:c>
      <x:c r="F33" t="str">
        <x:v>mm</x:v>
      </x:c>
      <x:c r="G33" t="str">
        <x:v>Category as stated in Schedule 8</x:v>
      </x:c>
      <x:c r="H33" t="str">
        <x:v>Sri Lanka</x:v>
      </x:c>
      <x:c r="I33" t="str">
        <x:v>Gazette 2235/54 (2021-07-08)</x:v>
      </x:c>
      <x:c r="J33" t="str">
        <x:v>Schedule 8; Regulation 68</x:v>
      </x:c>
      <x:c r="K33" t="n">
        <x:v>123</x:v>
      </x:c>
      <x:c r="L33" t="str">
        <x:v>PDF: 2235-54_E.pdf</x:v>
      </x:c>
      <x:c r="M33" t="str">
        <x:v>Source-extracted; applicability/current amendments to verify</x:v>
      </x:c>
      <x:c r="N33" t="str"/>
    </x:row>
    <x:row r="34" ht="30" customHeight="1">
      <x:c r="A34" t="str">
        <x:v>SL-S8-33</x:v>
      </x:c>
      <x:c r="B34" t="str">
        <x:v>Stair dimensions</x:v>
      </x:c>
      <x:c r="C34" t="str">
        <x:v>Public/condominium and other stairs</x:v>
      </x:c>
      <x:c r="D34" t="str">
        <x:v>minimum_height_clearance</x:v>
      </x:c>
      <x:c r="E34" t="n">
        <x:v>2.1</x:v>
      </x:c>
      <x:c r="F34" t="str">
        <x:v>m</x:v>
      </x:c>
      <x:c r="G34" t="str">
        <x:v>Category as stated in Schedule 8</x:v>
      </x:c>
      <x:c r="H34" t="str">
        <x:v>Sri Lanka</x:v>
      </x:c>
      <x:c r="I34" t="str">
        <x:v>Gazette 2235/54 (2021-07-08)</x:v>
      </x:c>
      <x:c r="J34" t="str">
        <x:v>Schedule 8; Regulation 68</x:v>
      </x:c>
      <x:c r="K34" t="n">
        <x:v>123</x:v>
      </x:c>
      <x:c r="L34" t="str">
        <x:v>PDF: 2235-54_E.pdf</x:v>
      </x:c>
      <x:c r="M34" t="str">
        <x:v>Source-extracted; applicability/current amendments to verify</x:v>
      </x:c>
      <x:c r="N34" t="str"/>
    </x:row>
    <x:row r="35" ht="30" customHeight="1">
      <x:c r="A35" t="str">
        <x:v>SL-S8-34</x:v>
      </x:c>
      <x:c r="B35" t="str">
        <x:v>Stair dimensions</x:v>
      </x:c>
      <x:c r="C35" t="str">
        <x:v>Public/condominium and other stairs</x:v>
      </x:c>
      <x:c r="D35" t="str">
        <x:v>maximum_riser</x:v>
      </x:c>
      <x:c r="E35" t="n">
        <x:v>150</x:v>
      </x:c>
      <x:c r="F35" t="str">
        <x:v>mm</x:v>
      </x:c>
      <x:c r="G35" t="str">
        <x:v>Category as stated in Schedule 8</x:v>
      </x:c>
      <x:c r="H35" t="str">
        <x:v>Sri Lanka</x:v>
      </x:c>
      <x:c r="I35" t="str">
        <x:v>Gazette 2235/54 (2021-07-08)</x:v>
      </x:c>
      <x:c r="J35" t="str">
        <x:v>Schedule 8; Regulation 68</x:v>
      </x:c>
      <x:c r="K35" t="n">
        <x:v>123</x:v>
      </x:c>
      <x:c r="L35" t="str">
        <x:v>PDF: 2235-54_E.pdf</x:v>
      </x:c>
      <x:c r="M35" t="str">
        <x:v>Source-extracted; applicability/current amendments to verify</x:v>
      </x:c>
      <x:c r="N35" t="str"/>
    </x:row>
    <x:row r="36" ht="30" customHeight="1">
      <x:c r="A36" t="str">
        <x:v>SL-S8-35</x:v>
      </x:c>
      <x:c r="B36" t="str">
        <x:v>Stair dimensions</x:v>
      </x:c>
      <x:c r="C36" t="str">
        <x:v>Public/condominium and other stairs</x:v>
      </x:c>
      <x:c r="D36" t="str">
        <x:v>minimum_tread</x:v>
      </x:c>
      <x:c r="E36" t="n">
        <x:v>300</x:v>
      </x:c>
      <x:c r="F36" t="str">
        <x:v>mm</x:v>
      </x:c>
      <x:c r="G36" t="str">
        <x:v>Category as stated in Schedule 8</x:v>
      </x:c>
      <x:c r="H36" t="str">
        <x:v>Sri Lanka</x:v>
      </x:c>
      <x:c r="I36" t="str">
        <x:v>Gazette 2235/54 (2021-07-08)</x:v>
      </x:c>
      <x:c r="J36" t="str">
        <x:v>Schedule 8; Regulation 68</x:v>
      </x:c>
      <x:c r="K36" t="n">
        <x:v>123</x:v>
      </x:c>
      <x:c r="L36" t="str">
        <x:v>PDF: 2235-54_E.pdf</x:v>
      </x:c>
      <x:c r="M36" t="str">
        <x:v>Source-extracted; applicability/current amendments to verify</x:v>
      </x:c>
      <x:c r="N36" t="str"/>
    </x:row>
    <x:row r="37" ht="30" customHeight="1">
      <x:c r="A37" t="str">
        <x:v>SL-R68-01</x:v>
      </x:c>
      <x:c r="B37" t="str">
        <x:v>Stair dimensions</x:v>
      </x:c>
      <x:c r="C37" t="str">
        <x:v>Non-public building</x:v>
      </x:c>
      <x:c r="D37" t="str">
        <x:v>minimum_handrail_height</x:v>
      </x:c>
      <x:c r="E37" t="n">
        <x:v>1</x:v>
      </x:c>
      <x:c r="F37" t="str">
        <x:v>m</x:v>
      </x:c>
      <x:c r="G37" t="str">
        <x:v>Building not public</x:v>
      </x:c>
      <x:c r="H37" t="str">
        <x:v>Sri Lanka</x:v>
      </x:c>
      <x:c r="I37" t="str">
        <x:v>Gazette 2235/54 (2021-07-08)</x:v>
      </x:c>
      <x:c r="J37" t="str">
        <x:v>Regulation 68(2)(a)</x:v>
      </x:c>
      <x:c r="K37" t="n">
        <x:v>20</x:v>
      </x:c>
      <x:c r="L37" t="str">
        <x:v>PDF: 2235-54_E.pdf</x:v>
      </x:c>
      <x:c r="M37" t="str">
        <x:v>Source-extracted; applicability/current amendments to verify</x:v>
      </x:c>
      <x:c r="N37" t="str"/>
    </x:row>
    <x:row r="38" ht="30" customHeight="1">
      <x:c r="A38" t="str">
        <x:v>SL-R75-01</x:v>
      </x:c>
      <x:c r="B38" t="str">
        <x:v>Sanitation</x:v>
      </x:c>
      <x:c r="C38" t="str">
        <x:v>Dwelling unit</x:v>
      </x:c>
      <x:c r="D38" t="str">
        <x:v>minimum_water_closets</x:v>
      </x:c>
      <x:c r="E38" t="n">
        <x:v>1</x:v>
      </x:c>
      <x:c r="F38" t="str">
        <x:v>count</x:v>
      </x:c>
      <x:c r="G38" t="str">
        <x:v>Every dwelling unit</x:v>
      </x:c>
      <x:c r="H38" t="str">
        <x:v>Sri Lanka</x:v>
      </x:c>
      <x:c r="I38" t="str">
        <x:v>Gazette 2235/54 (2021-07-08)</x:v>
      </x:c>
      <x:c r="J38" t="str">
        <x:v>Regulation 75(1)</x:v>
      </x:c>
      <x:c r="K38" t="n">
        <x:v>26</x:v>
      </x:c>
      <x:c r="L38" t="str">
        <x:v>PDF: 2235-54_E.pdf</x:v>
      </x:c>
      <x:c r="M38" t="str">
        <x:v>Source-extracted; applicability/current amendments to verify</x:v>
      </x:c>
      <x:c r="N38" t="str"/>
    </x:row>
    <x:row r="39" ht="30" customHeight="1">
      <x:c r="A39" t="str">
        <x:v>SL-R75-02</x:v>
      </x:c>
      <x:c r="B39" t="str">
        <x:v>Sanitation</x:v>
      </x:c>
      <x:c r="C39" t="str">
        <x:v>Kitchen</x:v>
      </x:c>
      <x:c r="D39" t="str">
        <x:v>sink_required</x:v>
      </x:c>
      <x:c r="E39" t="n">
        <x:v>1</x:v>
      </x:c>
      <x:c r="F39" t="str">
        <x:v>boolean (1=true)</x:v>
      </x:c>
      <x:c r="G39" t="str">
        <x:v>Kitchen or food-preparation area</x:v>
      </x:c>
      <x:c r="H39" t="str">
        <x:v>Sri Lanka</x:v>
      </x:c>
      <x:c r="I39" t="str">
        <x:v>Gazette 2235/54 (2021-07-08)</x:v>
      </x:c>
      <x:c r="J39" t="str">
        <x:v>Regulation 75(4)</x:v>
      </x:c>
      <x:c r="K39" t="n">
        <x:v>26</x:v>
      </x:c>
      <x:c r="L39" t="str">
        <x:v>PDF: 2235-54_E.pdf</x:v>
      </x:c>
      <x:c r="M39" t="str">
        <x:v>Source-extracted; applicability/current amendments to verify</x:v>
      </x:c>
      <x:c r="N39" t="str"/>
    </x:row>
  </x:sheetData>
  <x:pageMargins left="0.7" right="0.7" top="0.75" bottom="0.75" header="0.3" footer="0.3"/>
  <x:tableParts count="1">
    <x:tablePart xmlns:r="http://schemas.openxmlformats.org/officeDocument/2006/relationships" r:id="Ra8933fb53fba40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5" hidden="0" customWidth="1"/>
  </x:cols>
  <x:sheetData>
    <x:row r="1" ht="30" customHeight="1">
      <x:c r="A1" s="3" t="str">
        <x:v>BuildMind Member 3 — Room Dimensions / Space Standards</x:v>
      </x:c>
      <x:c r="B1" s="3"/>
    </x:row>
    <x:row r="2">
      <x:c r="A2" t="str">
        <x:v>Dataset type</x:v>
      </x:c>
      <x:c r="B2" t="str">
        <x:v>Primary-source transcription from uploaded 2021 Sri Lankan Gazette</x:v>
      </x:c>
    </x:row>
    <x:row r="3">
      <x:c r="A3" t="str">
        <x:v>Scope</x:v>
      </x:c>
      <x:c r="B3" t="str">
        <x:v>Schedule 7; Regulation 67; Schedule 8; Regulation 68; Regulation 75</x:v>
      </x:c>
    </x:row>
    <x:row r="4">
      <x:c r="A4" t="str">
        <x:v>Data rows</x:v>
      </x:c>
      <x:c r="B4" t="n">
        <x:v>38</x:v>
      </x:c>
    </x:row>
    <x:row r="5">
      <x:c r="A5" t="str">
        <x:v>Units</x:v>
      </x:c>
      <x:c r="B5" t="str">
        <x:v>m², m, mm, count; boolean (1=true)</x:v>
      </x:c>
    </x:row>
    <x:row r="6">
      <x:c r="A6" t="str">
        <x:v>Important</x:v>
      </x:c>
      <x:c r="B6" t="str">
        <x:v>Minimum floor area + minimum width are independent constraints; no fixed length is specified.</x:v>
      </x:c>
    </x:row>
    <x:row r="7">
      <x:c r="A7" t="str">
        <x:v>Do not infer</x:v>
      </x:c>
      <x:c r="B7" t="str">
        <x:v>Master bedroom, living room recommended floor area, room length or ideal dimensions from Schedule 7.</x:v>
      </x:c>
    </x:row>
    <x:row r="8">
      <x:c r="A8" t="str">
        <x:v>Legal caution</x:v>
      </x:c>
      <x:c r="B8" t="str">
        <x:v>Current amendments, local authority and zoning applicability have NOT been independently checked.</x:v>
      </x:c>
    </x:row>
    <x:row r="9">
      <x:c r="A9" t="str">
        <x:v>Second PDF</x:v>
      </x:c>
      <x:c r="B9" t="str">
        <x:v>UDAdeclare_2024_9_04.pdf is one page and was not used to derive dimension rules.</x:v>
      </x:c>
    </x:row>
    <x:row r="10">
      <x:c r="A10" t="str">
        <x:v>Gazette page</x:v>
      </x:c>
      <x:c r="B10" t="str">
        <x:v>Printed page number (e.g. 123A); PDF viewer page may differ.</x:v>
      </x:c>
    </x:row>
    <x:row r="11">
      <x:c r="A11" t="str">
        <x:v>Source filename</x:v>
      </x:c>
      <x:c r="B11" t="str">
        <x:v>2235-54_E.pdf</x:v>
      </x:c>
    </x:row>
    <x:row r="12">
      <x:c r="A12" t="str">
        <x:v>Next research</x:v>
      </x:c>
      <x:c r="B12" t="str">
        <x:v>Validate latest UDA amendments and local applicability before enabling AI compliance checks.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4" hidden="0" customWidth="1"/>
    <x:col min="3" max="3" width="80" hidden="0" customWidth="1"/>
  </x:cols>
  <x:sheetData>
    <x:row r="1">
      <x:c r="A1" s="3" t="str">
        <x:v>Topic</x:v>
      </x:c>
      <x:c r="B1" s="3" t="str">
        <x:v>Status</x:v>
      </x:c>
      <x:c r="C1" s="3" t="str">
        <x:v>Why it matters</x:v>
      </x:c>
    </x:row>
    <x:row r="2">
      <x:c r="A2" t="str">
        <x:v>Master bedroom recommended sizes</x:v>
      </x:c>
      <x:c r="B2" t="str">
        <x:v>Not in extracted clauses</x:v>
      </x:c>
      <x:c r="C2" t="str">
        <x:v>Avoid invented recommended dimensions</x:v>
      </x:c>
    </x:row>
    <x:row r="3">
      <x:c r="A3" t="str">
        <x:v>Living/dining recommended areas</x:v>
      </x:c>
      <x:c r="B3" t="str">
        <x:v>Not in extracted clauses</x:v>
      </x:c>
      <x:c r="C3" t="str">
        <x:v>Need professional Sri Lankan guidance</x:v>
      </x:c>
    </x:row>
    <x:row r="4">
      <x:c r="A4" t="str">
        <x:v>Room length / aspect ratio</x:v>
      </x:c>
      <x:c r="B4" t="str">
        <x:v>Not in Schedule 7</x:v>
      </x:c>
      <x:c r="C4" t="str">
        <x:v>Area and width alone do not prescribe length</x:v>
      </x:c>
    </x:row>
    <x:row r="5">
      <x:c r="A5" t="str">
        <x:v>Furniture clearance</x:v>
      </x:c>
      <x:c r="B5" t="str">
        <x:v>Separate Member 6 research</x:v>
      </x:c>
      <x:c r="C5" t="str">
        <x:v>Do not mistake furniture recommendations for regulation</x:v>
      </x:c>
    </x:row>
    <x:row r="6">
      <x:c r="A6" t="str">
        <x:v>Latest legal amendments</x:v>
      </x:c>
      <x:c r="B6" t="str">
        <x:v>Unverified</x:v>
      </x:c>
      <x:c r="C6" t="str">
        <x:v>Must check before declaring compliance</x:v>
      </x:c>
    </x:row>
    <x:row r="7">
      <x:c r="A7" t="str">
        <x:v>Local planning jurisdiction</x:v>
      </x:c>
      <x:c r="B7" t="str">
        <x:v>Unverified</x:v>
      </x:c>
      <x:c r="C7" t="str">
        <x:v>Regulations and zoning may vary</x:v>
      </x:c>
    </x:row>
    <x:row r="8">
      <x:c r="A8" t="str">
        <x:v>Ventilation and air wells</x:v>
      </x:c>
      <x:c r="B8" t="str">
        <x:v>Schedule 9 available, not extracted here</x:v>
      </x:c>
      <x:c r="C8" t="str">
        <x:v>Separate contextual requirements, height-dependent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45" hidden="0" customWidth="1"/>
    <x:col min="4" max="4" width="14" hidden="0" customWidth="1"/>
    <x:col min="5" max="5" width="24" hidden="0" customWidth="1"/>
    <x:col min="6" max="6" width="62" hidden="0" customWidth="1"/>
    <x:col min="7" max="7" width="34" hidden="0" customWidth="1"/>
    <x:col min="8" max="8" width="17" hidden="0" customWidth="1"/>
    <x:col min="9" max="9" width="68" hidden="0" customWidth="1"/>
    <x:col min="10" max="10" width="54" hidden="0" customWidth="1"/>
  </x:cols>
  <x:sheetData>
    <x:row r="1" ht="32" customHeight="1">
      <x:c r="A1" s="11" t="str">
        <x:v>Rule_ID</x:v>
      </x:c>
      <x:c r="B1" s="11" t="str">
        <x:v>Element</x:v>
      </x:c>
      <x:c r="C1" s="11" t="str">
        <x:v>Metric</x:v>
      </x:c>
      <x:c r="D1" s="11" t="str">
        <x:v>Value</x:v>
      </x:c>
      <x:c r="E1" s="11" t="str">
        <x:v>Unit</x:v>
      </x:c>
      <x:c r="F1" s="11" t="str">
        <x:v>Condition</x:v>
      </x:c>
      <x:c r="G1" s="11" t="str">
        <x:v>Source</x:v>
      </x:c>
      <x:c r="H1" s="11" t="str">
        <x:v>Gazette_Page</x:v>
      </x:c>
      <x:c r="I1" s="11" t="str">
        <x:v>Implementation_Note</x:v>
      </x:c>
      <x:c r="J1" s="11" t="str">
        <x:v>Status</x:v>
      </x:c>
    </x:row>
    <x:row r="2">
      <x:c r="A2" t="str">
        <x:v>SL-R70-03A</x:v>
      </x:c>
      <x:c r="B2" t="str">
        <x:v>Window/opening</x:v>
      </x:c>
      <x:c r="C2" t="str">
        <x:v>minimum_opening_area_fraction</x:v>
      </x:c>
      <x:c r="D2" t="n">
        <x:v>0.2</x:v>
      </x:c>
      <x:c r="E2" t="str">
        <x:v>fraction of room floor area</x:v>
      </x:c>
      <x:c r="F2" t="str">
        <x:v>Room with natural light/ventilation openings</x:v>
      </x:c>
      <x:c r="G2" t="str">
        <x:v>Regulation 70(3)</x:v>
      </x:c>
      <x:c r="H2" t="n">
        <x:v>21</x:v>
      </x:c>
      <x:c r="I2" t="str">
        <x:v>Total window/opening area &gt;= room floor area * 0.2</x:v>
      </x:c>
      <x:c r="J2" t="str">
        <x:v>2021 source verified; current amendments unverified</x:v>
      </x:c>
    </x:row>
    <x:row r="3">
      <x:c r="A3" t="str">
        <x:v>SL-R70-03B</x:v>
      </x:c>
      <x:c r="B3" t="str">
        <x:v>Window/opening</x:v>
      </x:c>
      <x:c r="C3" t="str">
        <x:v>minimum_openable_fraction</x:v>
      </x:c>
      <x:c r="D3" t="n">
        <x:v>0.5</x:v>
      </x:c>
      <x:c r="E3" t="str">
        <x:v>fraction of openings</x:v>
      </x:c>
      <x:c r="F3" t="str">
        <x:v>Windows/openings counted under R70(3)</x:v>
      </x:c>
      <x:c r="G3" t="str">
        <x:v>Regulation 70(3)</x:v>
      </x:c>
      <x:c r="H3" t="n">
        <x:v>21</x:v>
      </x:c>
      <x:c r="I3" t="str">
        <x:v>Openable portion &gt;= 50% of qualifying opening area</x:v>
      </x:c>
      <x:c r="J3" t="str">
        <x:v>2021 source verified; current amendments unverified</x:v>
      </x:c>
    </x:row>
    <x:row r="4">
      <x:c r="A4" t="str">
        <x:v>SL-R70-06A</x:v>
      </x:c>
      <x:c r="B4" t="str">
        <x:v>Room</x:v>
      </x:c>
      <x:c r="C4" t="str">
        <x:v>maximum_perpendicular_distance_to_opening</x:v>
      </x:c>
      <x:c r="D4" t="n">
        <x:v>10</x:v>
      </x:c>
      <x:c r="E4" t="str">
        <x:v>m</x:v>
      </x:c>
      <x:c r="F4" t="str">
        <x:v>Buildings other than factories/workshops/warehouses under R70(5)</x:v>
      </x:c>
      <x:c r="G4" t="str">
        <x:v>Regulation 70(6)</x:v>
      </x:c>
      <x:c r="H4" t="n">
        <x:v>21</x:v>
      </x:c>
      <x:c r="I4" t="str">
        <x:v>Geometry-based validation</x:v>
      </x:c>
      <x:c r="J4" t="str">
        <x:v>2021 source verified; current amendments unverified</x:v>
      </x:c>
    </x:row>
    <x:row r="5">
      <x:c r="A5" t="str">
        <x:v>SL-R70-06B</x:v>
      </x:c>
      <x:c r="B5" t="str">
        <x:v>Room</x:v>
      </x:c>
      <x:c r="C5" t="str">
        <x:v>maximum_parallel_distance_from_opening_edge</x:v>
      </x:c>
      <x:c r="D5" t="n">
        <x:v>3</x:v>
      </x:c>
      <x:c r="E5" t="str">
        <x:v>m</x:v>
      </x:c>
      <x:c r="F5" t="str">
        <x:v>Buildings other than factories/workshops/warehouses under R70(5)</x:v>
      </x:c>
      <x:c r="G5" t="str">
        <x:v>Regulation 70(6)</x:v>
      </x:c>
      <x:c r="H5" t="n">
        <x:v>21</x:v>
      </x:c>
      <x:c r="I5" t="str">
        <x:v>Geometry-based validation</x:v>
      </x:c>
      <x:c r="J5" t="str">
        <x:v>2021 source verified; current amendments unverified</x:v>
      </x:c>
    </x:row>
    <x:row r="6">
      <x:c r="A6" t="str">
        <x:v>SL-R70-07A</x:v>
      </x:c>
      <x:c r="B6" t="str">
        <x:v>Balcony/veranda/porch</x:v>
      </x:c>
      <x:c r="C6" t="str">
        <x:v>maximum_room_depth_from_outer_face</x:v>
      </x:c>
      <x:c r="D6" t="n">
        <x:v>10</x:v>
      </x:c>
      <x:c r="E6" t="str">
        <x:v>m</x:v>
      </x:c>
      <x:c r="F6" t="str">
        <x:v>Natural light/ventilation opening onto balcony/veranda/porch</x:v>
      </x:c>
      <x:c r="G6" t="str">
        <x:v>Regulation 70(7)(a)</x:v>
      </x:c>
      <x:c r="H6" t="n">
        <x:v>21</x:v>
      </x:c>
      <x:c r="I6" t="str">
        <x:v>Check depth from outer face of enclosure wall</x:v>
      </x:c>
      <x:c r="J6" t="str">
        <x:v>2021 source verified; current amendments unverified</x:v>
      </x:c>
    </x:row>
    <x:row r="7">
      <x:c r="A7" t="str">
        <x:v>SL-R70-07B</x:v>
      </x:c>
      <x:c r="B7" t="str">
        <x:v>Balcony/veranda/porch</x:v>
      </x:c>
      <x:c r="C7" t="str">
        <x:v>minimum_front_opening_height_fraction</x:v>
      </x:c>
      <x:c r="D7" t="n">
        <x:v>0.75</x:v>
      </x:c>
      <x:c r="E7" t="str">
        <x:v>fraction of floor-ceiling height</x:v>
      </x:c>
      <x:c r="F7" t="str">
        <x:v>Natural light/ventilation through balcony/veranda/porch</x:v>
      </x:c>
      <x:c r="G7" t="str">
        <x:v>Regulation 70(7)(b)</x:v>
      </x:c>
      <x:c r="H7" t="n">
        <x:v>22</x:v>
      </x:c>
      <x:c r="I7" t="str">
        <x:v>Height ratio; do not confuse with opening area</x:v>
      </x:c>
      <x:c r="J7" t="str">
        <x:v>2021 source verified; current amendments unverified</x:v>
      </x:c>
    </x:row>
    <x:row r="8">
      <x:c r="A8" t="str">
        <x:v>SL-R71-05</x:v>
      </x:c>
      <x:c r="B8" t="str">
        <x:v>Bathroom/toilet</x:v>
      </x:c>
      <x:c r="C8" t="str">
        <x:v>minimum_opposite_boundary_distance</x:v>
      </x:c>
      <x:c r="D8" t="n">
        <x:v>1</x:v>
      </x:c>
      <x:c r="E8" t="str">
        <x:v>m</x:v>
      </x:c>
      <x:c r="F8" t="str">
        <x:v>Natural light/ventilation opening for WC, toilet, bathroom</x:v>
      </x:c>
      <x:c r="G8" t="str">
        <x:v>Regulation 71(5)</x:v>
      </x:c>
      <x:c r="H8" t="n">
        <x:v>22</x:v>
      </x:c>
      <x:c r="I8" t="str">
        <x:v>Distance to opposite open-space boundary</x:v>
      </x:c>
      <x:c r="J8" t="str">
        <x:v>2021 source verified; current amendments unverified</x:v>
      </x:c>
    </x:row>
    <x:row r="9">
      <x:c r="A9" t="str">
        <x:v>SL-R71-07A</x:v>
      </x:c>
      <x:c r="B9" t="str">
        <x:v>Terrace house</x:v>
      </x:c>
      <x:c r="C9" t="str">
        <x:v>vent_required_when_depth_greater_than</x:v>
      </x:c>
      <x:c r="D9" t="n">
        <x:v>12</x:v>
      </x:c>
      <x:c r="E9" t="str">
        <x:v>m</x:v>
      </x:c>
      <x:c r="F9" t="str">
        <x:v>Terrace house</x:v>
      </x:c>
      <x:c r="G9" t="str">
        <x:v>Regulation 71(7)</x:v>
      </x:c>
      <x:c r="H9" t="n">
        <x:v>22</x:v>
      </x:c>
      <x:c r="I9" t="str">
        <x:v>Front-to-rear permanent ventilation</x:v>
      </x:c>
      <x:c r="J9" t="str">
        <x:v>2021 source verified; current amendments unverified</x:v>
      </x:c>
    </x:row>
    <x:row r="10">
      <x:c r="A10" t="str">
        <x:v>SL-R71-07B</x:v>
      </x:c>
      <x:c r="B10" t="str">
        <x:v>Terrace house vent</x:v>
      </x:c>
      <x:c r="C10" t="str">
        <x:v>minimum_net_opening_area</x:v>
      </x:c>
      <x:c r="D10" t="n">
        <x:v>0.5</x:v>
      </x:c>
      <x:c r="E10" t="str">
        <x:v>m²</x:v>
      </x:c>
      <x:c r="F10" t="str">
        <x:v>Terrace house deeper than 12m</x:v>
      </x:c>
      <x:c r="G10" t="str">
        <x:v>Regulation 71(7)</x:v>
      </x:c>
      <x:c r="H10" t="n">
        <x:v>22</x:v>
      </x:c>
      <x:c r="I10" t="str">
        <x:v>Permanent vents at each floor</x:v>
      </x:c>
      <x:c r="J10" t="str">
        <x:v>2021 source verified; current amendments unverified</x:v>
      </x:c>
    </x:row>
    <x:row r="11">
      <x:c r="A11" t="str">
        <x:v>SL-R71-03</x:v>
      </x:c>
      <x:c r="B11" t="str">
        <x:v>Air-well</x:v>
      </x:c>
      <x:c r="C11" t="str">
        <x:v>maximum_projection</x:v>
      </x:c>
      <x:c r="D11" t="n">
        <x:v>0.5</x:v>
      </x:c>
      <x:c r="E11" t="str">
        <x:v>m</x:v>
      </x:c>
      <x:c r="F11" t="str">
        <x:v>Shortest air-well side &lt;5.0m</x:v>
      </x:c>
      <x:c r="G11" t="str">
        <x:v>Regulation 71(3)</x:v>
      </x:c>
      <x:c r="H11" t="n">
        <x:v>22</x:v>
      </x:c>
      <x:c r="I11" t="str">
        <x:v>Overhang/eaves/canopies etc.</x:v>
      </x:c>
      <x:c r="J11" t="str">
        <x:v>2021 source verified; current amendments unverified</x:v>
      </x:c>
    </x:row>
    <x:row r="12">
      <x:c r="A12" t="str">
        <x:v>SL-S9-1-AW</x:v>
      </x:c>
      <x:c r="B12" t="str">
        <x:v>All rooms</x:v>
      </x:c>
      <x:c r="C12" t="str">
        <x:v>minimum_airwell_clear_width</x:v>
      </x:c>
      <x:c r="D12" t="n">
        <x:v>2.3</x:v>
      </x:c>
      <x:c r="E12" t="str">
        <x:v>m</x:v>
      </x:c>
      <x:c r="F12" t="str">
        <x:v>Building height 0 to 7 m; first band &lt;7m; boundary handling verify</x:v>
      </x:c>
      <x:c r="G12" t="str">
        <x:v>Schedule 9; Regulation 71(1)</x:v>
      </x:c>
      <x:c r="H12" t="n">
        <x:v>124</x:v>
      </x:c>
      <x:c r="I12" t="str">
        <x:v>Select height band; width and area both required</x:v>
      </x:c>
      <x:c r="J12" t="str">
        <x:v>2021 source verified; current amendments unverified</x:v>
      </x:c>
    </x:row>
    <x:row r="13">
      <x:c r="A13" t="str">
        <x:v>SL-S9-1-AA</x:v>
      </x:c>
      <x:c r="B13" t="str">
        <x:v>All rooms</x:v>
      </x:c>
      <x:c r="C13" t="str">
        <x:v>minimum_airwell_area</x:v>
      </x:c>
      <x:c r="D13" t="n">
        <x:v>5</x:v>
      </x:c>
      <x:c r="E13" t="str">
        <x:v>m²</x:v>
      </x:c>
      <x:c r="F13" t="str">
        <x:v>Building height 0 to 7 m; first band &lt;7m; boundary handling verify</x:v>
      </x:c>
      <x:c r="G13" t="str">
        <x:v>Schedule 9; Regulation 71(1)</x:v>
      </x:c>
      <x:c r="H13" t="n">
        <x:v>124</x:v>
      </x:c>
      <x:c r="I13" t="str">
        <x:v>Select height band; width and area both required</x:v>
      </x:c>
      <x:c r="J13" t="str">
        <x:v>2021 source verified; current amendments unverified</x:v>
      </x:c>
    </x:row>
    <x:row r="14">
      <x:c r="A14" t="str">
        <x:v>SL-S9-1-UW</x:v>
      </x:c>
      <x:c r="B14" t="str">
        <x:v>Utility rooms</x:v>
      </x:c>
      <x:c r="C14" t="str">
        <x:v>minimum_airwell_clear_width</x:v>
      </x:c>
      <x:c r="D14" t="n">
        <x:v>1</x:v>
      </x:c>
      <x:c r="E14" t="str">
        <x:v>m</x:v>
      </x:c>
      <x:c r="F14" t="str">
        <x:v>Building height 0 to 7 m; first band &lt;7m; boundary handling verify</x:v>
      </x:c>
      <x:c r="G14" t="str">
        <x:v>Schedule 9; Regulation 71(1)</x:v>
      </x:c>
      <x:c r="H14" t="n">
        <x:v>124</x:v>
      </x:c>
      <x:c r="I14" t="str">
        <x:v>Select height band; width and area both required</x:v>
      </x:c>
      <x:c r="J14" t="str">
        <x:v>2021 source verified; current amendments unverified</x:v>
      </x:c>
    </x:row>
    <x:row r="15">
      <x:c r="A15" t="str">
        <x:v>SL-S9-1-UA</x:v>
      </x:c>
      <x:c r="B15" t="str">
        <x:v>Utility rooms</x:v>
      </x:c>
      <x:c r="C15" t="str">
        <x:v>minimum_airwell_area</x:v>
      </x:c>
      <x:c r="D15" t="n">
        <x:v>1</x:v>
      </x:c>
      <x:c r="E15" t="str">
        <x:v>m²</x:v>
      </x:c>
      <x:c r="F15" t="str">
        <x:v>Building height 0 to 7 m; first band &lt;7m; boundary handling verify</x:v>
      </x:c>
      <x:c r="G15" t="str">
        <x:v>Schedule 9; Regulation 71(1)</x:v>
      </x:c>
      <x:c r="H15" t="n">
        <x:v>124</x:v>
      </x:c>
      <x:c r="I15" t="str">
        <x:v>Select height band; width and area both required</x:v>
      </x:c>
      <x:c r="J15" t="str">
        <x:v>2021 source verified; current amendments unverified</x:v>
      </x:c>
    </x:row>
    <x:row r="16">
      <x:c r="A16" t="str">
        <x:v>SL-S9-2-AW</x:v>
      </x:c>
      <x:c r="B16" t="str">
        <x:v>All rooms</x:v>
      </x:c>
      <x:c r="C16" t="str">
        <x:v>minimum_airwell_clear_width</x:v>
      </x:c>
      <x:c r="D16" t="n">
        <x:v>3</x:v>
      </x:c>
      <x:c r="E16" t="str">
        <x:v>m</x:v>
      </x:c>
      <x:c r="F16" t="str">
        <x:v>Building height 7 to 15 m; first band &lt;7m; boundary handling verify</x:v>
      </x:c>
      <x:c r="G16" t="str">
        <x:v>Schedule 9; Regulation 71(1)</x:v>
      </x:c>
      <x:c r="H16" t="n">
        <x:v>124</x:v>
      </x:c>
      <x:c r="I16" t="str">
        <x:v>Select height band; width and area both required</x:v>
      </x:c>
      <x:c r="J16" t="str">
        <x:v>2021 source verified; current amendments unverified</x:v>
      </x:c>
    </x:row>
    <x:row r="17">
      <x:c r="A17" t="str">
        <x:v>SL-S9-2-AA</x:v>
      </x:c>
      <x:c r="B17" t="str">
        <x:v>All rooms</x:v>
      </x:c>
      <x:c r="C17" t="str">
        <x:v>minimum_airwell_area</x:v>
      </x:c>
      <x:c r="D17" t="n">
        <x:v>9</x:v>
      </x:c>
      <x:c r="E17" t="str">
        <x:v>m²</x:v>
      </x:c>
      <x:c r="F17" t="str">
        <x:v>Building height 7 to 15 m; first band &lt;7m; boundary handling verify</x:v>
      </x:c>
      <x:c r="G17" t="str">
        <x:v>Schedule 9; Regulation 71(1)</x:v>
      </x:c>
      <x:c r="H17" t="n">
        <x:v>124</x:v>
      </x:c>
      <x:c r="I17" t="str">
        <x:v>Select height band; width and area both required</x:v>
      </x:c>
      <x:c r="J17" t="str">
        <x:v>2021 source verified; current amendments unverified</x:v>
      </x:c>
    </x:row>
    <x:row r="18">
      <x:c r="A18" t="str">
        <x:v>SL-S9-2-UW</x:v>
      </x:c>
      <x:c r="B18" t="str">
        <x:v>Utility rooms</x:v>
      </x:c>
      <x:c r="C18" t="str">
        <x:v>minimum_airwell_clear_width</x:v>
      </x:c>
      <x:c r="D18" t="n">
        <x:v>1</x:v>
      </x:c>
      <x:c r="E18" t="str">
        <x:v>m</x:v>
      </x:c>
      <x:c r="F18" t="str">
        <x:v>Building height 7 to 15 m; first band &lt;7m; boundary handling verify</x:v>
      </x:c>
      <x:c r="G18" t="str">
        <x:v>Schedule 9; Regulation 71(1)</x:v>
      </x:c>
      <x:c r="H18" t="n">
        <x:v>124</x:v>
      </x:c>
      <x:c r="I18" t="str">
        <x:v>Select height band; width and area both required</x:v>
      </x:c>
      <x:c r="J18" t="str">
        <x:v>2021 source verified; current amendments unverified</x:v>
      </x:c>
    </x:row>
    <x:row r="19">
      <x:c r="A19" t="str">
        <x:v>SL-S9-2-UA</x:v>
      </x:c>
      <x:c r="B19" t="str">
        <x:v>Utility rooms</x:v>
      </x:c>
      <x:c r="C19" t="str">
        <x:v>minimum_airwell_area</x:v>
      </x:c>
      <x:c r="D19" t="n">
        <x:v>2</x:v>
      </x:c>
      <x:c r="E19" t="str">
        <x:v>m²</x:v>
      </x:c>
      <x:c r="F19" t="str">
        <x:v>Building height 7 to 15 m; first band &lt;7m; boundary handling verify</x:v>
      </x:c>
      <x:c r="G19" t="str">
        <x:v>Schedule 9; Regulation 71(1)</x:v>
      </x:c>
      <x:c r="H19" t="n">
        <x:v>124</x:v>
      </x:c>
      <x:c r="I19" t="str">
        <x:v>Select height band; width and area both required</x:v>
      </x:c>
      <x:c r="J19" t="str">
        <x:v>2021 source verified; current amendments unverified</x:v>
      </x:c>
    </x:row>
    <x:row r="20">
      <x:c r="A20" t="str">
        <x:v>SL-S9-3-AW</x:v>
      </x:c>
      <x:c r="B20" t="str">
        <x:v>All rooms</x:v>
      </x:c>
      <x:c r="C20" t="str">
        <x:v>minimum_airwell_clear_width</x:v>
      </x:c>
      <x:c r="D20" t="n">
        <x:v>4</x:v>
      </x:c>
      <x:c r="E20" t="str">
        <x:v>m</x:v>
      </x:c>
      <x:c r="F20" t="str">
        <x:v>Building height 15 to 30 m; first band &lt;7m; boundary handling verify</x:v>
      </x:c>
      <x:c r="G20" t="str">
        <x:v>Schedule 9; Regulation 71(1)</x:v>
      </x:c>
      <x:c r="H20" t="n">
        <x:v>124</x:v>
      </x:c>
      <x:c r="I20" t="str">
        <x:v>Select height band; width and area both required</x:v>
      </x:c>
      <x:c r="J20" t="str">
        <x:v>2021 source verified; current amendments unverified</x:v>
      </x:c>
    </x:row>
    <x:row r="21">
      <x:c r="A21" t="str">
        <x:v>SL-S9-3-AA</x:v>
      </x:c>
      <x:c r="B21" t="str">
        <x:v>All rooms</x:v>
      </x:c>
      <x:c r="C21" t="str">
        <x:v>minimum_airwell_area</x:v>
      </x:c>
      <x:c r="D21" t="n">
        <x:v>16</x:v>
      </x:c>
      <x:c r="E21" t="str">
        <x:v>m²</x:v>
      </x:c>
      <x:c r="F21" t="str">
        <x:v>Building height 15 to 30 m; first band &lt;7m; boundary handling verify</x:v>
      </x:c>
      <x:c r="G21" t="str">
        <x:v>Schedule 9; Regulation 71(1)</x:v>
      </x:c>
      <x:c r="H21" t="n">
        <x:v>124</x:v>
      </x:c>
      <x:c r="I21" t="str">
        <x:v>Select height band; width and area both required</x:v>
      </x:c>
      <x:c r="J21" t="str">
        <x:v>2021 source verified; current amendments unverified</x:v>
      </x:c>
    </x:row>
    <x:row r="22">
      <x:c r="A22" t="str">
        <x:v>SL-S9-3-UW</x:v>
      </x:c>
      <x:c r="B22" t="str">
        <x:v>Utility rooms</x:v>
      </x:c>
      <x:c r="C22" t="str">
        <x:v>minimum_airwell_clear_width</x:v>
      </x:c>
      <x:c r="D22" t="n">
        <x:v>1</x:v>
      </x:c>
      <x:c r="E22" t="str">
        <x:v>m</x:v>
      </x:c>
      <x:c r="F22" t="str">
        <x:v>Building height 15 to 30 m; first band &lt;7m; boundary handling verify</x:v>
      </x:c>
      <x:c r="G22" t="str">
        <x:v>Schedule 9; Regulation 71(1)</x:v>
      </x:c>
      <x:c r="H22" t="n">
        <x:v>124</x:v>
      </x:c>
      <x:c r="I22" t="str">
        <x:v>Select height band; width and area both required</x:v>
      </x:c>
      <x:c r="J22" t="str">
        <x:v>2021 source verified; current amendments unverified</x:v>
      </x:c>
    </x:row>
    <x:row r="23">
      <x:c r="A23" t="str">
        <x:v>SL-S9-3-UA</x:v>
      </x:c>
      <x:c r="B23" t="str">
        <x:v>Utility rooms</x:v>
      </x:c>
      <x:c r="C23" t="str">
        <x:v>minimum_airwell_area</x:v>
      </x:c>
      <x:c r="D23" t="n">
        <x:v>2</x:v>
      </x:c>
      <x:c r="E23" t="str">
        <x:v>m²</x:v>
      </x:c>
      <x:c r="F23" t="str">
        <x:v>Building height 15 to 30 m; first band &lt;7m; boundary handling verify</x:v>
      </x:c>
      <x:c r="G23" t="str">
        <x:v>Schedule 9; Regulation 71(1)</x:v>
      </x:c>
      <x:c r="H23" t="n">
        <x:v>124</x:v>
      </x:c>
      <x:c r="I23" t="str">
        <x:v>Select height band; width and area both required</x:v>
      </x:c>
      <x:c r="J23" t="str">
        <x:v>2021 source verified; current amendments unverified</x:v>
      </x:c>
    </x:row>
    <x:row r="24">
      <x:c r="A24" t="str">
        <x:v>SL-S9-4-AW</x:v>
      </x:c>
      <x:c r="B24" t="str">
        <x:v>All rooms</x:v>
      </x:c>
      <x:c r="C24" t="str">
        <x:v>minimum_airwell_clear_width</x:v>
      </x:c>
      <x:c r="D24" t="n">
        <x:v>5</x:v>
      </x:c>
      <x:c r="E24" t="str">
        <x:v>m</x:v>
      </x:c>
      <x:c r="F24" t="str">
        <x:v>Building height 30 to 50 m; first band &lt;7m; boundary handling verify</x:v>
      </x:c>
      <x:c r="G24" t="str">
        <x:v>Schedule 9; Regulation 71(1)</x:v>
      </x:c>
      <x:c r="H24" t="n">
        <x:v>124</x:v>
      </x:c>
      <x:c r="I24" t="str">
        <x:v>Select height band; width and area both required</x:v>
      </x:c>
      <x:c r="J24" t="str">
        <x:v>2021 source verified; current amendments unverified</x:v>
      </x:c>
    </x:row>
    <x:row r="25">
      <x:c r="A25" t="str">
        <x:v>SL-S9-4-AA</x:v>
      </x:c>
      <x:c r="B25" t="str">
        <x:v>All rooms</x:v>
      </x:c>
      <x:c r="C25" t="str">
        <x:v>minimum_airwell_area</x:v>
      </x:c>
      <x:c r="D25" t="n">
        <x:v>25</x:v>
      </x:c>
      <x:c r="E25" t="str">
        <x:v>m²</x:v>
      </x:c>
      <x:c r="F25" t="str">
        <x:v>Building height 30 to 50 m; first band &lt;7m; boundary handling verify</x:v>
      </x:c>
      <x:c r="G25" t="str">
        <x:v>Schedule 9; Regulation 71(1)</x:v>
      </x:c>
      <x:c r="H25" t="n">
        <x:v>124</x:v>
      </x:c>
      <x:c r="I25" t="str">
        <x:v>Select height band; width and area both required</x:v>
      </x:c>
      <x:c r="J25" t="str">
        <x:v>2021 source verified; current amendments unverified</x:v>
      </x:c>
    </x:row>
    <x:row r="26">
      <x:c r="A26" t="str">
        <x:v>SL-S9-4-UW</x:v>
      </x:c>
      <x:c r="B26" t="str">
        <x:v>Utility rooms</x:v>
      </x:c>
      <x:c r="C26" t="str">
        <x:v>minimum_airwell_clear_width</x:v>
      </x:c>
      <x:c r="D26" t="n">
        <x:v>1</x:v>
      </x:c>
      <x:c r="E26" t="str">
        <x:v>m</x:v>
      </x:c>
      <x:c r="F26" t="str">
        <x:v>Building height 30 to 50 m; first band &lt;7m; boundary handling verify</x:v>
      </x:c>
      <x:c r="G26" t="str">
        <x:v>Schedule 9; Regulation 71(1)</x:v>
      </x:c>
      <x:c r="H26" t="n">
        <x:v>124</x:v>
      </x:c>
      <x:c r="I26" t="str">
        <x:v>Select height band; width and area both required</x:v>
      </x:c>
      <x:c r="J26" t="str">
        <x:v>2021 source verified; current amendments unverified</x:v>
      </x:c>
    </x:row>
    <x:row r="27">
      <x:c r="A27" t="str">
        <x:v>SL-S9-4-UA</x:v>
      </x:c>
      <x:c r="B27" t="str">
        <x:v>Utility rooms</x:v>
      </x:c>
      <x:c r="C27" t="str">
        <x:v>minimum_airwell_area</x:v>
      </x:c>
      <x:c r="D27" t="n">
        <x:v>2.25</x:v>
      </x:c>
      <x:c r="E27" t="str">
        <x:v>m²</x:v>
      </x:c>
      <x:c r="F27" t="str">
        <x:v>Building height 30 to 50 m; first band &lt;7m; boundary handling verify</x:v>
      </x:c>
      <x:c r="G27" t="str">
        <x:v>Schedule 9; Regulation 71(1)</x:v>
      </x:c>
      <x:c r="H27" t="n">
        <x:v>124</x:v>
      </x:c>
      <x:c r="I27" t="str">
        <x:v>Select height band; width and area both required</x:v>
      </x:c>
      <x:c r="J27" t="str">
        <x:v>2021 source verified; current amendments unverified</x:v>
      </x:c>
    </x:row>
    <x:row r="28">
      <x:c r="A28" t="str">
        <x:v>SL-S9-5-AW</x:v>
      </x:c>
      <x:c r="B28" t="str">
        <x:v>All rooms</x:v>
      </x:c>
      <x:c r="C28" t="str">
        <x:v>minimum_airwell_clear_width</x:v>
      </x:c>
      <x:c r="D28" t="n">
        <x:v>6</x:v>
      </x:c>
      <x:c r="E28" t="str">
        <x:v>m</x:v>
      </x:c>
      <x:c r="F28" t="str">
        <x:v>Building height 50 to 75 m; first band &lt;7m; boundary handling verify</x:v>
      </x:c>
      <x:c r="G28" t="str">
        <x:v>Schedule 9; Regulation 71(1)</x:v>
      </x:c>
      <x:c r="H28" t="n">
        <x:v>124</x:v>
      </x:c>
      <x:c r="I28" t="str">
        <x:v>Select height band; width and area both required</x:v>
      </x:c>
      <x:c r="J28" t="str">
        <x:v>2021 source verified; current amendments unverified</x:v>
      </x:c>
    </x:row>
    <x:row r="29">
      <x:c r="A29" t="str">
        <x:v>SL-S9-5-AA</x:v>
      </x:c>
      <x:c r="B29" t="str">
        <x:v>All rooms</x:v>
      </x:c>
      <x:c r="C29" t="str">
        <x:v>minimum_airwell_area</x:v>
      </x:c>
      <x:c r="D29" t="n">
        <x:v>36</x:v>
      </x:c>
      <x:c r="E29" t="str">
        <x:v>m²</x:v>
      </x:c>
      <x:c r="F29" t="str">
        <x:v>Building height 50 to 75 m; first band &lt;7m; boundary handling verify</x:v>
      </x:c>
      <x:c r="G29" t="str">
        <x:v>Schedule 9; Regulation 71(1)</x:v>
      </x:c>
      <x:c r="H29" t="n">
        <x:v>124</x:v>
      </x:c>
      <x:c r="I29" t="str">
        <x:v>Select height band; width and area both required</x:v>
      </x:c>
      <x:c r="J29" t="str">
        <x:v>2021 source verified; current amendments unverified</x:v>
      </x:c>
    </x:row>
    <x:row r="30">
      <x:c r="A30" t="str">
        <x:v>SL-S9-5-UW</x:v>
      </x:c>
      <x:c r="B30" t="str">
        <x:v>Utility rooms</x:v>
      </x:c>
      <x:c r="C30" t="str">
        <x:v>minimum_airwell_clear_width</x:v>
      </x:c>
      <x:c r="D30" t="n">
        <x:v>1.5</x:v>
      </x:c>
      <x:c r="E30" t="str">
        <x:v>m</x:v>
      </x:c>
      <x:c r="F30" t="str">
        <x:v>Building height 50 to 75 m; first band &lt;7m; boundary handling verify</x:v>
      </x:c>
      <x:c r="G30" t="str">
        <x:v>Schedule 9; Regulation 71(1)</x:v>
      </x:c>
      <x:c r="H30" t="n">
        <x:v>124</x:v>
      </x:c>
      <x:c r="I30" t="str">
        <x:v>Select height band; width and area both required</x:v>
      </x:c>
      <x:c r="J30" t="str">
        <x:v>2021 source verified; current amendments unverified</x:v>
      </x:c>
    </x:row>
    <x:row r="31">
      <x:c r="A31" t="str">
        <x:v>SL-S9-5-UA</x:v>
      </x:c>
      <x:c r="B31" t="str">
        <x:v>Utility rooms</x:v>
      </x:c>
      <x:c r="C31" t="str">
        <x:v>minimum_airwell_area</x:v>
      </x:c>
      <x:c r="D31" t="n">
        <x:v>2.25</x:v>
      </x:c>
      <x:c r="E31" t="str">
        <x:v>m²</x:v>
      </x:c>
      <x:c r="F31" t="str">
        <x:v>Building height 50 to 75 m; first band &lt;7m; boundary handling verify</x:v>
      </x:c>
      <x:c r="G31" t="str">
        <x:v>Schedule 9; Regulation 71(1)</x:v>
      </x:c>
      <x:c r="H31" t="n">
        <x:v>124</x:v>
      </x:c>
      <x:c r="I31" t="str">
        <x:v>Select height band; width and area both required</x:v>
      </x:c>
      <x:c r="J31" t="str">
        <x:v>2021 source verified; current amendments unverified</x:v>
      </x:c>
    </x:row>
    <x:row r="32">
      <x:c r="A32" t="str">
        <x:v>SL-S9-75A</x:v>
      </x:c>
      <x:c r="B32" t="str">
        <x:v>All rooms</x:v>
      </x:c>
      <x:c r="C32" t="str">
        <x:v>minimum_airwell_clear_width</x:v>
      </x:c>
      <x:c r="D32" t="n">
        <x:v>6</x:v>
      </x:c>
      <x:c r="E32" t="str">
        <x:v>m</x:v>
      </x:c>
      <x:c r="F32" t="str">
        <x:v>Building height &gt;=75m</x:v>
      </x:c>
      <x:c r="G32" t="str">
        <x:v>Schedule 9</x:v>
      </x:c>
      <x:c r="H32" t="n">
        <x:v>124</x:v>
      </x:c>
      <x:c r="I32" t="str">
        <x:v>Air-well area has height-dependent formula; not a fixed constant</x:v>
      </x:c>
      <x:c r="J32" t="str">
        <x:v>2021 source verified; current amendments unverified</x:v>
      </x:c>
    </x:row>
    <x:row r="33">
      <x:c r="A33" t="str">
        <x:v>SL-S9-75U</x:v>
      </x:c>
      <x:c r="B33" t="str">
        <x:v>Utility rooms</x:v>
      </x:c>
      <x:c r="C33" t="str">
        <x:v>minimum_airwell_clear_width</x:v>
      </x:c>
      <x:c r="D33" t="n">
        <x:v>1.5</x:v>
      </x:c>
      <x:c r="E33" t="str">
        <x:v>m</x:v>
      </x:c>
      <x:c r="F33" t="str">
        <x:v>Building height &gt;=75m</x:v>
      </x:c>
      <x:c r="G33" t="str">
        <x:v>Schedule 9</x:v>
      </x:c>
      <x:c r="H33" t="n">
        <x:v>124</x:v>
      </x:c>
      <x:c r="I33" t="str">
        <x:v>Minimum area 2.25 m² per printed table</x:v>
      </x:c>
      <x:c r="J33" t="str">
        <x:v>2021 source verified; current amendments unverified</x:v>
      </x:c>
    </x:row>
    <x:row r="34">
      <x:c r="A34" t="str">
        <x:v>SL-S9-75UA</x:v>
      </x:c>
      <x:c r="B34" t="str">
        <x:v>Utility rooms</x:v>
      </x:c>
      <x:c r="C34" t="str">
        <x:v>minimum_airwell_area</x:v>
      </x:c>
      <x:c r="D34" t="n">
        <x:v>2.25</x:v>
      </x:c>
      <x:c r="E34" t="str">
        <x:v>m²</x:v>
      </x:c>
      <x:c r="F34" t="str">
        <x:v>Building height &gt;=75m</x:v>
      </x:c>
      <x:c r="G34" t="str">
        <x:v>Schedule 9</x:v>
      </x:c>
      <x:c r="H34" t="n">
        <x:v>124</x:v>
      </x:c>
      <x:c r="I34" t="str">
        <x:v>See table</x:v>
      </x:c>
      <x:c r="J34" t="str">
        <x:v>2021 source verified; current amendments unverified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824fa435560a47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0" hidden="0" customWidth="1"/>
    <x:col min="4" max="4" width="38" hidden="0" customWidth="1"/>
    <x:col min="5" max="5" width="24" hidden="0" customWidth="1"/>
    <x:col min="6" max="6" width="80" hidden="0" customWidth="1"/>
  </x:cols>
  <x:sheetData>
    <x:row r="1">
      <x:c r="A1" s="10" t="str">
        <x:v>Example</x:v>
      </x:c>
      <x:c r="B1" s="10" t="str">
        <x:v>Room area (m²)</x:v>
      </x:c>
      <x:c r="C1" s="10" t="str">
        <x:v>Required opening (m²)</x:v>
      </x:c>
      <x:c r="D1" s="10" t="str">
        <x:v>Required openable area (m²)</x:v>
      </x:c>
      <x:c r="E1" s="10" t="str">
        <x:v>Source</x:v>
      </x:c>
      <x:c r="F1" s="10" t="str">
        <x:v>Interpretation</x:v>
      </x:c>
    </x:row>
    <x:row r="2">
      <x:c r="A2" t="str">
        <x:v>Bedroom example</x:v>
      </x:c>
      <x:c r="B2" t="n">
        <x:v>12</x:v>
      </x:c>
      <x:c r="C2" t="n">
        <x:f>B2*0.2</x:f>
        <x:v>2.4000000000000004</x:v>
      </x:c>
      <x:c r="D2" t="n">
        <x:f>C2*0.5</x:f>
        <x:v>1.2000000000000002</x:v>
      </x:c>
      <x:c r="E2" t="str">
        <x:v>Regulation 70(3)</x:v>
      </x:c>
      <x:c r="F2" t="str">
        <x:v>Illustrative calculation only; not a recommended bedroom size</x:v>
      </x:c>
    </x:row>
    <x:row r="3">
      <x:c r="A3" t="str">
        <x:v>Kitchen example</x:v>
      </x:c>
      <x:c r="B3" t="n">
        <x:v>8</x:v>
      </x:c>
      <x:c r="C3" t="n">
        <x:f>B3*0.2</x:f>
        <x:v>1.6</x:v>
      </x:c>
      <x:c r="D3" t="n">
        <x:f>C3*0.5</x:f>
        <x:v>0.8</x:v>
      </x:c>
      <x:c r="E3" t="str">
        <x:v>Regulation 70(3)</x:v>
      </x:c>
      <x:c r="F3" t="str">
        <x:v>Illustrative calculation only; not a recommended kitchen size</x:v>
      </x:c>
    </x:row>
    <x:row r="4">
      <x:c r="A4" t="str">
        <x:v>Living room example</x:v>
      </x:c>
      <x:c r="B4" t="n">
        <x:v>20</x:v>
      </x:c>
      <x:c r="C4" t="n">
        <x:f>B4*0.2</x:f>
        <x:v>4</x:v>
      </x:c>
      <x:c r="D4" t="n">
        <x:f>C4*0.5</x:f>
        <x:v>2</x:v>
      </x:c>
      <x:c r="E4" t="str">
        <x:v>Regulation 70(3)</x:v>
      </x:c>
      <x:c r="F4" t="str">
        <x:v>Illustrative calculation only; not a recommended living room size</x:v>
      </x:c>
    </x:row>
  </x:sheetData>
  <x:pageMargins left="0.7" right="0.7" top="0.75" bottom="0.75" header="0.3" footer="0.3"/>
</x:worksheet>
</file>