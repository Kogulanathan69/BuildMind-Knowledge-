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6dcc750153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_2021_Rules" sheetId="1" r:id="R455a54b5b20349d6"/>
    <x:sheet xmlns:r="http://schemas.openxmlformats.org/officeDocument/2006/relationships" name="AI_Validation_Examples" sheetId="2" r:id="R7fe542b0dc1544e7"/>
    <x:sheet xmlns:r="http://schemas.openxmlformats.org/officeDocument/2006/relationships" name="Read_Me" sheetId="3" r:id="Rff47e9775307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764f5a7584dcf" /><Relationship Type="http://schemas.openxmlformats.org/officeDocument/2006/relationships/theme" Target="/xl/theme/theme1.xml" Id="Rcb5c52c4cbbd47d9" /><Relationship Type="http://schemas.openxmlformats.org/officeDocument/2006/relationships/sharedStrings" Target="/xl/sharedStrings.xml" Id="R48c520d2ae9e4926" /><Relationship Type="http://schemas.openxmlformats.org/officeDocument/2006/relationships/worksheet" Target="/xl/worksheets/sheet1.xml" Id="R455a54b5b20349d6" /><Relationship Type="http://schemas.openxmlformats.org/officeDocument/2006/relationships/worksheet" Target="/xl/worksheets/sheet2.xml" Id="R7fe542b0dc1544e7" /><Relationship Type="http://schemas.openxmlformats.org/officeDocument/2006/relationships/worksheet" Target="/xl/worksheets/sheet3.xml" Id="Rff47e9775307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7" hidden="0" customWidth="1"/>
    <x:col min="3" max="3" width="34" hidden="0" customWidth="1"/>
    <x:col min="4" max="4" width="12" hidden="0" customWidth="1"/>
    <x:col min="5" max="5" width="14" hidden="0" customWidth="1"/>
    <x:col min="6" max="6" width="22" hidden="0" customWidth="1"/>
    <x:col min="7" max="7" width="35" hidden="0" customWidth="1"/>
    <x:col min="8" max="8" width="35" hidden="0" customWidth="1"/>
    <x:col min="9" max="9" width="68" hidden="0" customWidth="1"/>
    <x:col min="10" max="10" width="56" hidden="0" customWidth="1"/>
  </x:cols>
  <x:sheetData>
    <x:row r="1">
      <x:c r="A1" s="6" t="str">
        <x:v>Rule ID</x:v>
      </x:c>
      <x:c r="B1" s="6" t="str">
        <x:v>Applicable room / category</x:v>
      </x:c>
      <x:c r="C1" s="6" t="str">
        <x:v>Constraint</x:v>
      </x:c>
      <x:c r="D1" s="6" t="str">
        <x:v>Operator</x:v>
      </x:c>
      <x:c r="E1" s="6" t="str">
        <x:v>Threshold</x:v>
      </x:c>
      <x:c r="F1" s="6" t="str">
        <x:v>Unit</x:v>
      </x:c>
      <x:c r="G1" s="6" t="str">
        <x:v>Source clause</x:v>
      </x:c>
      <x:c r="H1" s="6" t="str">
        <x:v>Source verification</x:v>
      </x:c>
      <x:c r="I1" s="6" t="str">
        <x:v>Conditions / caveats</x:v>
      </x:c>
      <x:c r="J1" s="6" t="str">
        <x:v>Document</x:v>
      </x:c>
    </x:row>
    <x:row r="2">
      <x:c r="A2" t="str">
        <x:v>SINGLE-AREA</x:v>
      </x:c>
      <x:c r="B2" t="str">
        <x:v>Single room dwelling</x:v>
      </x:c>
      <x:c r="C2" t="str">
        <x:v>minimum_floor_area</x:v>
      </x:c>
      <x:c r="D2" t="str">
        <x:v>&gt;=</x:v>
      </x:c>
      <x:c r="E2" t="n">
        <x:v>11</x:v>
      </x:c>
      <x:c r="F2" t="str">
        <x:v>m²</x:v>
      </x:c>
      <x:c r="G2" t="str">
        <x:v>Schedule 7 / Regulation 65,75</x:v>
      </x:c>
      <x:c r="H2" t="str">
        <x:v>Verified in uploaded 2021 Gazette</x:v>
      </x:c>
      <x:c r="I2" t="str">
        <x:v>Check correct dwelling-room category</x:v>
      </x:c>
      <x:c r="J2" t="str">
        <x:v>Gazette Extraordinary 2235/54 (2021-07-08), uploaded PDF</x:v>
      </x:c>
    </x:row>
    <x:row r="3">
      <x:c r="A3" t="str">
        <x:v>SINGLE-WIDTH</x:v>
      </x:c>
      <x:c r="B3" t="str">
        <x:v>Single room dwelling</x:v>
      </x:c>
      <x:c r="C3" t="str">
        <x:v>minimum_width</x:v>
      </x:c>
      <x:c r="D3" t="str">
        <x:v>&gt;=</x:v>
      </x:c>
      <x:c r="E3" t="n">
        <x:v>3</x:v>
      </x:c>
      <x:c r="F3" t="str">
        <x:v>m</x:v>
      </x:c>
      <x:c r="G3" t="str">
        <x:v>Schedule 7 / Regulation 65,75</x:v>
      </x:c>
      <x:c r="H3" t="str">
        <x:v>Verified in uploaded 2021 Gazette</x:v>
      </x:c>
      <x:c r="I3" t="str"/>
      <x:c r="J3" t="str">
        <x:v>Gazette Extraordinary 2235/54 (2021-07-08), uploaded PDF</x:v>
      </x:c>
    </x:row>
    <x:row r="4">
      <x:c r="A4" t="str">
        <x:v>FIRST-AREA</x:v>
      </x:c>
      <x:c r="B4" t="str">
        <x:v>First room (multi-room dwelling)</x:v>
      </x:c>
      <x:c r="C4" t="str">
        <x:v>minimum_floor_area</x:v>
      </x:c>
      <x:c r="D4" t="str">
        <x:v>&gt;=</x:v>
      </x:c>
      <x:c r="E4" t="n">
        <x:v>9.5</x:v>
      </x:c>
      <x:c r="F4" t="str">
        <x:v>m²</x:v>
      </x:c>
      <x:c r="G4" t="str">
        <x:v>Schedule 7 / Regulation 65,75</x:v>
      </x:c>
      <x:c r="H4" t="str">
        <x:v>Verified in uploaded 2021 Gazette</x:v>
      </x:c>
      <x:c r="I4" t="str">
        <x:v>Check correct dwelling-room category</x:v>
      </x:c>
      <x:c r="J4" t="str">
        <x:v>Gazette Extraordinary 2235/54 (2021-07-08), uploaded PDF</x:v>
      </x:c>
    </x:row>
    <x:row r="5">
      <x:c r="A5" t="str">
        <x:v>FIRST-WIDTH</x:v>
      </x:c>
      <x:c r="B5" t="str">
        <x:v>First room (multi-room dwelling)</x:v>
      </x:c>
      <x:c r="C5" t="str">
        <x:v>minimum_width</x:v>
      </x:c>
      <x:c r="D5" t="str">
        <x:v>&gt;=</x:v>
      </x:c>
      <x:c r="E5" t="n">
        <x:v>2.5</x:v>
      </x:c>
      <x:c r="F5" t="str">
        <x:v>m</x:v>
      </x:c>
      <x:c r="G5" t="str">
        <x:v>Schedule 7 / Regulation 65,75</x:v>
      </x:c>
      <x:c r="H5" t="str">
        <x:v>Verified in uploaded 2021 Gazette</x:v>
      </x:c>
      <x:c r="I5" t="str"/>
      <x:c r="J5" t="str">
        <x:v>Gazette Extraordinary 2235/54 (2021-07-08), uploaded PDF</x:v>
      </x:c>
    </x:row>
    <x:row r="6">
      <x:c r="A6" t="str">
        <x:v>ADDITIONAL-AREA</x:v>
      </x:c>
      <x:c r="B6" t="str">
        <x:v>Additional room (multi-room dwelling)</x:v>
      </x:c>
      <x:c r="C6" t="str">
        <x:v>minimum_floor_area</x:v>
      </x:c>
      <x:c r="D6" t="str">
        <x:v>&gt;=</x:v>
      </x:c>
      <x:c r="E6" t="n">
        <x:v>8.5</x:v>
      </x:c>
      <x:c r="F6" t="str">
        <x:v>m²</x:v>
      </x:c>
      <x:c r="G6" t="str">
        <x:v>Schedule 7 / Regulation 65,75</x:v>
      </x:c>
      <x:c r="H6" t="str">
        <x:v>Verified in uploaded 2021 Gazette</x:v>
      </x:c>
      <x:c r="I6" t="str">
        <x:v>Check correct dwelling-room category</x:v>
      </x:c>
      <x:c r="J6" t="str">
        <x:v>Gazette Extraordinary 2235/54 (2021-07-08), uploaded PDF</x:v>
      </x:c>
    </x:row>
    <x:row r="7">
      <x:c r="A7" t="str">
        <x:v>ADDITIONAL-WIDTH</x:v>
      </x:c>
      <x:c r="B7" t="str">
        <x:v>Additional room (multi-room dwelling)</x:v>
      </x:c>
      <x:c r="C7" t="str">
        <x:v>minimum_width</x:v>
      </x:c>
      <x:c r="D7" t="str">
        <x:v>&gt;=</x:v>
      </x:c>
      <x:c r="E7" t="n">
        <x:v>2.5</x:v>
      </x:c>
      <x:c r="F7" t="str">
        <x:v>m</x:v>
      </x:c>
      <x:c r="G7" t="str">
        <x:v>Schedule 7 / Regulation 65,75</x:v>
      </x:c>
      <x:c r="H7" t="str">
        <x:v>Verified in uploaded 2021 Gazette</x:v>
      </x:c>
      <x:c r="I7" t="str"/>
      <x:c r="J7" t="str">
        <x:v>Gazette Extraordinary 2235/54 (2021-07-08), uploaded PDF</x:v>
      </x:c>
    </x:row>
    <x:row r="8">
      <x:c r="A8" t="str">
        <x:v>KITCHEN-AREA</x:v>
      </x:c>
      <x:c r="B8" t="str">
        <x:v>Kitchen</x:v>
      </x:c>
      <x:c r="C8" t="str">
        <x:v>minimum_floor_area</x:v>
      </x:c>
      <x:c r="D8" t="str">
        <x:v>&gt;=</x:v>
      </x:c>
      <x:c r="E8" t="n">
        <x:v>5.5</x:v>
      </x:c>
      <x:c r="F8" t="str">
        <x:v>m²</x:v>
      </x:c>
      <x:c r="G8" t="str">
        <x:v>Schedule 7 / Regulation 65,75</x:v>
      </x:c>
      <x:c r="H8" t="str">
        <x:v>Verified in uploaded 2021 Gazette</x:v>
      </x:c>
      <x:c r="I8" t="str">
        <x:v>Check correct dwelling-room category</x:v>
      </x:c>
      <x:c r="J8" t="str">
        <x:v>Gazette Extraordinary 2235/54 (2021-07-08), uploaded PDF</x:v>
      </x:c>
    </x:row>
    <x:row r="9">
      <x:c r="A9" t="str">
        <x:v>KITCHEN-WIDTH</x:v>
      </x:c>
      <x:c r="B9" t="str">
        <x:v>Kitchen</x:v>
      </x:c>
      <x:c r="C9" t="str">
        <x:v>minimum_width</x:v>
      </x:c>
      <x:c r="D9" t="str">
        <x:v>&gt;=</x:v>
      </x:c>
      <x:c r="E9" t="n">
        <x:v>1.8</x:v>
      </x:c>
      <x:c r="F9" t="str">
        <x:v>m</x:v>
      </x:c>
      <x:c r="G9" t="str">
        <x:v>Schedule 7 / Regulation 65,75</x:v>
      </x:c>
      <x:c r="H9" t="str">
        <x:v>Verified in uploaded 2021 Gazette</x:v>
      </x:c>
      <x:c r="I9" t="str"/>
      <x:c r="J9" t="str">
        <x:v>Gazette Extraordinary 2235/54 (2021-07-08), uploaded PDF</x:v>
      </x:c>
    </x:row>
    <x:row r="10">
      <x:c r="A10" t="str">
        <x:v>BATH-AREA</x:v>
      </x:c>
      <x:c r="B10" t="str">
        <x:v>Bathroom</x:v>
      </x:c>
      <x:c r="C10" t="str">
        <x:v>minimum_floor_area</x:v>
      </x:c>
      <x:c r="D10" t="str">
        <x:v>&gt;=</x:v>
      </x:c>
      <x:c r="E10" t="n">
        <x:v>1.7</x:v>
      </x:c>
      <x:c r="F10" t="str">
        <x:v>m²</x:v>
      </x:c>
      <x:c r="G10" t="str">
        <x:v>Schedule 7 / Regulation 65,75</x:v>
      </x:c>
      <x:c r="H10" t="str">
        <x:v>Verified in uploaded 2021 Gazette</x:v>
      </x:c>
      <x:c r="I10" t="str">
        <x:v>Check correct dwelling-room category</x:v>
      </x:c>
      <x:c r="J10" t="str">
        <x:v>Gazette Extraordinary 2235/54 (2021-07-08), uploaded PDF</x:v>
      </x:c>
    </x:row>
    <x:row r="11">
      <x:c r="A11" t="str">
        <x:v>BATH-WIDTH</x:v>
      </x:c>
      <x:c r="B11" t="str">
        <x:v>Bathroom</x:v>
      </x:c>
      <x:c r="C11" t="str">
        <x:v>minimum_width</x:v>
      </x:c>
      <x:c r="D11" t="str">
        <x:v>&gt;=</x:v>
      </x:c>
      <x:c r="E11" t="n">
        <x:v>1</x:v>
      </x:c>
      <x:c r="F11" t="str">
        <x:v>m</x:v>
      </x:c>
      <x:c r="G11" t="str">
        <x:v>Schedule 7 / Regulation 65,75</x:v>
      </x:c>
      <x:c r="H11" t="str">
        <x:v>Verified in uploaded 2021 Gazette</x:v>
      </x:c>
      <x:c r="I11" t="str"/>
      <x:c r="J11" t="str">
        <x:v>Gazette Extraordinary 2235/54 (2021-07-08), uploaded PDF</x:v>
      </x:c>
    </x:row>
    <x:row r="12">
      <x:c r="A12" t="str">
        <x:v>TOILET-AREA</x:v>
      </x:c>
      <x:c r="B12" t="str">
        <x:v>Toilet</x:v>
      </x:c>
      <x:c r="C12" t="str">
        <x:v>minimum_floor_area</x:v>
      </x:c>
      <x:c r="D12" t="str">
        <x:v>&gt;=</x:v>
      </x:c>
      <x:c r="E12" t="n">
        <x:v>1.7</x:v>
      </x:c>
      <x:c r="F12" t="str">
        <x:v>m²</x:v>
      </x:c>
      <x:c r="G12" t="str">
        <x:v>Schedule 7 / Regulation 65,75</x:v>
      </x:c>
      <x:c r="H12" t="str">
        <x:v>Verified in uploaded 2021 Gazette</x:v>
      </x:c>
      <x:c r="I12" t="str">
        <x:v>Check correct dwelling-room category</x:v>
      </x:c>
      <x:c r="J12" t="str">
        <x:v>Gazette Extraordinary 2235/54 (2021-07-08), uploaded PDF</x:v>
      </x:c>
    </x:row>
    <x:row r="13">
      <x:c r="A13" t="str">
        <x:v>TOILET-WIDTH</x:v>
      </x:c>
      <x:c r="B13" t="str">
        <x:v>Toilet</x:v>
      </x:c>
      <x:c r="C13" t="str">
        <x:v>minimum_width</x:v>
      </x:c>
      <x:c r="D13" t="str">
        <x:v>&gt;=</x:v>
      </x:c>
      <x:c r="E13" t="n">
        <x:v>1</x:v>
      </x:c>
      <x:c r="F13" t="str">
        <x:v>m</x:v>
      </x:c>
      <x:c r="G13" t="str">
        <x:v>Schedule 7 / Regulation 65,75</x:v>
      </x:c>
      <x:c r="H13" t="str">
        <x:v>Verified in uploaded 2021 Gazette</x:v>
      </x:c>
      <x:c r="I13" t="str"/>
      <x:c r="J13" t="str">
        <x:v>Gazette Extraordinary 2235/54 (2021-07-08), uploaded PDF</x:v>
      </x:c>
    </x:row>
    <x:row r="14">
      <x:c r="A14" t="str">
        <x:v>COMBINED-AREA</x:v>
      </x:c>
      <x:c r="B14" t="str">
        <x:v>Combined bath and toilet</x:v>
      </x:c>
      <x:c r="C14" t="str">
        <x:v>minimum_floor_area</x:v>
      </x:c>
      <x:c r="D14" t="str">
        <x:v>&gt;=</x:v>
      </x:c>
      <x:c r="E14" t="n">
        <x:v>2</x:v>
      </x:c>
      <x:c r="F14" t="str">
        <x:v>m²</x:v>
      </x:c>
      <x:c r="G14" t="str">
        <x:v>Schedule 7 / Regulation 65,75</x:v>
      </x:c>
      <x:c r="H14" t="str">
        <x:v>Verified in uploaded 2021 Gazette</x:v>
      </x:c>
      <x:c r="I14" t="str">
        <x:v>Check correct dwelling-room category</x:v>
      </x:c>
      <x:c r="J14" t="str">
        <x:v>Gazette Extraordinary 2235/54 (2021-07-08), uploaded PDF</x:v>
      </x:c>
    </x:row>
    <x:row r="15">
      <x:c r="A15" t="str">
        <x:v>COMBINED-WIDTH</x:v>
      </x:c>
      <x:c r="B15" t="str">
        <x:v>Combined bath and toilet</x:v>
      </x:c>
      <x:c r="C15" t="str">
        <x:v>minimum_width</x:v>
      </x:c>
      <x:c r="D15" t="str">
        <x:v>&gt;=</x:v>
      </x:c>
      <x:c r="E15" t="n">
        <x:v>1.5</x:v>
      </x:c>
      <x:c r="F15" t="str">
        <x:v>m</x:v>
      </x:c>
      <x:c r="G15" t="str">
        <x:v>Schedule 7 / Regulation 65,75</x:v>
      </x:c>
      <x:c r="H15" t="str">
        <x:v>Verified in uploaded 2021 Gazette</x:v>
      </x:c>
      <x:c r="I15" t="str"/>
      <x:c r="J15" t="str">
        <x:v>Gazette Extraordinary 2235/54 (2021-07-08), uploaded PDF</x:v>
      </x:c>
    </x:row>
    <x:row r="16">
      <x:c r="A16" t="str">
        <x:v>H-LIVINGROOM</x:v>
      </x:c>
      <x:c r="B16" t="str">
        <x:v>Living room</x:v>
      </x:c>
      <x:c r="C16" t="str">
        <x:v>average_ceiling_height</x:v>
      </x:c>
      <x:c r="D16" t="str">
        <x:v>&gt;=</x:v>
      </x:c>
      <x:c r="E16" t="n">
        <x:v>2.8</x:v>
      </x:c>
      <x:c r="F16" t="str">
        <x:v>m</x:v>
      </x:c>
      <x:c r="G16" t="str">
        <x:v>Regulation 67(1)(a)</x:v>
      </x:c>
      <x:c r="H16" t="str">
        <x:v>Verified in uploaded 2021 Gazette</x:v>
      </x:c>
      <x:c r="I16" t="str"/>
      <x:c r="J16" t="str">
        <x:v>Gazette Extraordinary 2235/54 (2021-07-08), uploaded PDF</x:v>
      </x:c>
    </x:row>
    <x:row r="17">
      <x:c r="A17" t="str">
        <x:v>LOW-LIVINGROOM</x:v>
      </x:c>
      <x:c r="B17" t="str">
        <x:v>Living room</x:v>
      </x:c>
      <x:c r="C17" t="str">
        <x:v>lowest_ceiling_point</x:v>
      </x:c>
      <x:c r="D17" t="str">
        <x:v>&gt;=</x:v>
      </x:c>
      <x:c r="E17" t="n">
        <x:v>2.4</x:v>
      </x:c>
      <x:c r="F17" t="str">
        <x:v>m</x:v>
      </x:c>
      <x:c r="G17" t="str">
        <x:v>Regulation 67(1)(a)</x:v>
      </x:c>
      <x:c r="H17" t="str">
        <x:v>Verified in uploaded 2021 Gazette</x:v>
      </x:c>
      <x:c r="I17" t="str"/>
      <x:c r="J17" t="str">
        <x:v>Gazette Extraordinary 2235/54 (2021-07-08), uploaded PDF</x:v>
      </x:c>
    </x:row>
    <x:row r="18">
      <x:c r="A18" t="str">
        <x:v>H-BEDROOM</x:v>
      </x:c>
      <x:c r="B18" t="str">
        <x:v>Bedroom</x:v>
      </x:c>
      <x:c r="C18" t="str">
        <x:v>average_ceiling_height</x:v>
      </x:c>
      <x:c r="D18" t="str">
        <x:v>&gt;=</x:v>
      </x:c>
      <x:c r="E18" t="n">
        <x:v>2.8</x:v>
      </x:c>
      <x:c r="F18" t="str">
        <x:v>m</x:v>
      </x:c>
      <x:c r="G18" t="str">
        <x:v>Regulation 67(1)(a)</x:v>
      </x:c>
      <x:c r="H18" t="str">
        <x:v>Verified in uploaded 2021 Gazette</x:v>
      </x:c>
      <x:c r="I18" t="str"/>
      <x:c r="J18" t="str">
        <x:v>Gazette Extraordinary 2235/54 (2021-07-08), uploaded PDF</x:v>
      </x:c>
    </x:row>
    <x:row r="19">
      <x:c r="A19" t="str">
        <x:v>LOW-BEDROOM</x:v>
      </x:c>
      <x:c r="B19" t="str">
        <x:v>Bedroom</x:v>
      </x:c>
      <x:c r="C19" t="str">
        <x:v>lowest_ceiling_point</x:v>
      </x:c>
      <x:c r="D19" t="str">
        <x:v>&gt;=</x:v>
      </x:c>
      <x:c r="E19" t="n">
        <x:v>2.4</x:v>
      </x:c>
      <x:c r="F19" t="str">
        <x:v>m</x:v>
      </x:c>
      <x:c r="G19" t="str">
        <x:v>Regulation 67(1)(a)</x:v>
      </x:c>
      <x:c r="H19" t="str">
        <x:v>Verified in uploaded 2021 Gazette</x:v>
      </x:c>
      <x:c r="I19" t="str"/>
      <x:c r="J19" t="str">
        <x:v>Gazette Extraordinary 2235/54 (2021-07-08), uploaded PDF</x:v>
      </x:c>
    </x:row>
    <x:row r="20">
      <x:c r="A20" t="str">
        <x:v>H-KITCHEN</x:v>
      </x:c>
      <x:c r="B20" t="str">
        <x:v>Kitchen</x:v>
      </x:c>
      <x:c r="C20" t="str">
        <x:v>average_ceiling_height</x:v>
      </x:c>
      <x:c r="D20" t="str">
        <x:v>&gt;=</x:v>
      </x:c>
      <x:c r="E20" t="n">
        <x:v>2.8</x:v>
      </x:c>
      <x:c r="F20" t="str">
        <x:v>m</x:v>
      </x:c>
      <x:c r="G20" t="str">
        <x:v>Regulation 67(1)(a)</x:v>
      </x:c>
      <x:c r="H20" t="str">
        <x:v>Verified in uploaded 2021 Gazette</x:v>
      </x:c>
      <x:c r="I20" t="str"/>
      <x:c r="J20" t="str">
        <x:v>Gazette Extraordinary 2235/54 (2021-07-08), uploaded PDF</x:v>
      </x:c>
    </x:row>
    <x:row r="21">
      <x:c r="A21" t="str">
        <x:v>LOW-KITCHEN</x:v>
      </x:c>
      <x:c r="B21" t="str">
        <x:v>Kitchen</x:v>
      </x:c>
      <x:c r="C21" t="str">
        <x:v>lowest_ceiling_point</x:v>
      </x:c>
      <x:c r="D21" t="str">
        <x:v>&gt;=</x:v>
      </x:c>
      <x:c r="E21" t="n">
        <x:v>2.4</x:v>
      </x:c>
      <x:c r="F21" t="str">
        <x:v>m</x:v>
      </x:c>
      <x:c r="G21" t="str">
        <x:v>Regulation 67(1)(a)</x:v>
      </x:c>
      <x:c r="H21" t="str">
        <x:v>Verified in uploaded 2021 Gazette</x:v>
      </x:c>
      <x:c r="I21" t="str"/>
      <x:c r="J21" t="str">
        <x:v>Gazette Extraordinary 2235/54 (2021-07-08), uploaded PDF</x:v>
      </x:c>
    </x:row>
    <x:row r="22">
      <x:c r="A22" t="str">
        <x:v>H-BATHROOM</x:v>
      </x:c>
      <x:c r="B22" t="str">
        <x:v>Bathroom</x:v>
      </x:c>
      <x:c r="C22" t="str">
        <x:v>minimum_height</x:v>
      </x:c>
      <x:c r="D22" t="str">
        <x:v>&gt;=</x:v>
      </x:c>
      <x:c r="E22" t="n">
        <x:v>2.2</x:v>
      </x:c>
      <x:c r="F22" t="str">
        <x:v>m</x:v>
      </x:c>
      <x:c r="G22" t="str">
        <x:v>Regulation 67(1)(b)</x:v>
      </x:c>
      <x:c r="H22" t="str">
        <x:v>Verified in uploaded 2021 Gazette</x:v>
      </x:c>
      <x:c r="I22" t="str"/>
      <x:c r="J22" t="str">
        <x:v>Gazette Extraordinary 2235/54 (2021-07-08), uploaded PDF</x:v>
      </x:c>
    </x:row>
    <x:row r="23">
      <x:c r="A23" t="str">
        <x:v>H-LAVATORY</x:v>
      </x:c>
      <x:c r="B23" t="str">
        <x:v>Lavatory</x:v>
      </x:c>
      <x:c r="C23" t="str">
        <x:v>minimum_height</x:v>
      </x:c>
      <x:c r="D23" t="str">
        <x:v>&gt;=</x:v>
      </x:c>
      <x:c r="E23" t="n">
        <x:v>2.2</x:v>
      </x:c>
      <x:c r="F23" t="str">
        <x:v>m</x:v>
      </x:c>
      <x:c r="G23" t="str">
        <x:v>Regulation 67(1)(b)</x:v>
      </x:c>
      <x:c r="H23" t="str">
        <x:v>Verified in uploaded 2021 Gazette</x:v>
      </x:c>
      <x:c r="I23" t="str"/>
      <x:c r="J23" t="str">
        <x:v>Gazette Extraordinary 2235/54 (2021-07-08), uploaded PDF</x:v>
      </x:c>
    </x:row>
    <x:row r="24">
      <x:c r="A24" t="str">
        <x:v>H-WATERCLOSET</x:v>
      </x:c>
      <x:c r="B24" t="str">
        <x:v>Water closet</x:v>
      </x:c>
      <x:c r="C24" t="str">
        <x:v>minimum_height</x:v>
      </x:c>
      <x:c r="D24" t="str">
        <x:v>&gt;=</x:v>
      </x:c>
      <x:c r="E24" t="n">
        <x:v>2.2</x:v>
      </x:c>
      <x:c r="F24" t="str">
        <x:v>m</x:v>
      </x:c>
      <x:c r="G24" t="str">
        <x:v>Regulation 67(1)(b)</x:v>
      </x:c>
      <x:c r="H24" t="str">
        <x:v>Verified in uploaded 2021 Gazette</x:v>
      </x:c>
      <x:c r="I24" t="str"/>
      <x:c r="J24" t="str">
        <x:v>Gazette Extraordinary 2235/54 (2021-07-08), uploaded PDF</x:v>
      </x:c>
    </x:row>
    <x:row r="25">
      <x:c r="A25" t="str">
        <x:v>H-VERANDA</x:v>
      </x:c>
      <x:c r="B25" t="str">
        <x:v>Veranda</x:v>
      </x:c>
      <x:c r="C25" t="str">
        <x:v>minimum_height</x:v>
      </x:c>
      <x:c r="D25" t="str">
        <x:v>&gt;=</x:v>
      </x:c>
      <x:c r="E25" t="n">
        <x:v>2.2</x:v>
      </x:c>
      <x:c r="F25" t="str">
        <x:v>m</x:v>
      </x:c>
      <x:c r="G25" t="str">
        <x:v>Regulation 67(1)(b)</x:v>
      </x:c>
      <x:c r="H25" t="str">
        <x:v>Verified in uploaded 2021 Gazette</x:v>
      </x:c>
      <x:c r="I25" t="str"/>
      <x:c r="J25" t="str">
        <x:v>Gazette Extraordinary 2235/54 (2021-07-08), uploaded PDF</x:v>
      </x:c>
    </x:row>
    <x:row r="26">
      <x:c r="A26" t="str">
        <x:v>H-BALCONY</x:v>
      </x:c>
      <x:c r="B26" t="str">
        <x:v>Balcony</x:v>
      </x:c>
      <x:c r="C26" t="str">
        <x:v>minimum_height</x:v>
      </x:c>
      <x:c r="D26" t="str">
        <x:v>&gt;=</x:v>
      </x:c>
      <x:c r="E26" t="n">
        <x:v>2.2</x:v>
      </x:c>
      <x:c r="F26" t="str">
        <x:v>m</x:v>
      </x:c>
      <x:c r="G26" t="str">
        <x:v>Regulation 67(1)(b)</x:v>
      </x:c>
      <x:c r="H26" t="str">
        <x:v>Verified in uploaded 2021 Gazette</x:v>
      </x:c>
      <x:c r="I26" t="str"/>
      <x:c r="J26" t="str">
        <x:v>Gazette Extraordinary 2235/54 (2021-07-08), uploaded PDF</x:v>
      </x:c>
    </x:row>
    <x:row r="27">
      <x:c r="A27" t="str">
        <x:v>H-TERRACE</x:v>
      </x:c>
      <x:c r="B27" t="str">
        <x:v>Terrace</x:v>
      </x:c>
      <x:c r="C27" t="str">
        <x:v>minimum_height</x:v>
      </x:c>
      <x:c r="D27" t="str">
        <x:v>&gt;=</x:v>
      </x:c>
      <x:c r="E27" t="n">
        <x:v>2.2</x:v>
      </x:c>
      <x:c r="F27" t="str">
        <x:v>m</x:v>
      </x:c>
      <x:c r="G27" t="str">
        <x:v>Regulation 67(1)(b)</x:v>
      </x:c>
      <x:c r="H27" t="str">
        <x:v>Verified in uploaded 2021 Gazette</x:v>
      </x:c>
      <x:c r="I27" t="str"/>
      <x:c r="J27" t="str">
        <x:v>Gazette Extraordinary 2235/54 (2021-07-08), uploaded PDF</x:v>
      </x:c>
    </x:row>
    <x:row r="28">
      <x:c r="A28" t="str">
        <x:v>H-GARAGE</x:v>
      </x:c>
      <x:c r="B28" t="str">
        <x:v>Garage</x:v>
      </x:c>
      <x:c r="C28" t="str">
        <x:v>minimum_height</x:v>
      </x:c>
      <x:c r="D28" t="str">
        <x:v>&gt;=</x:v>
      </x:c>
      <x:c r="E28" t="n">
        <x:v>2.2</x:v>
      </x:c>
      <x:c r="F28" t="str">
        <x:v>m</x:v>
      </x:c>
      <x:c r="G28" t="str">
        <x:v>Regulation 67(1)(b)</x:v>
      </x:c>
      <x:c r="H28" t="str">
        <x:v>Verified in uploaded 2021 Gazette</x:v>
      </x:c>
      <x:c r="I28" t="str"/>
      <x:c r="J28" t="str">
        <x:v>Gazette Extraordinary 2235/54 (2021-07-08), uploaded PDF</x:v>
      </x:c>
    </x:row>
    <x:row r="29">
      <x:c r="A29" t="str">
        <x:v>WINDOW-RATIO</x:v>
      </x:c>
      <x:c r="B29" t="str">
        <x:v>Room with natural light/ventilation</x:v>
      </x:c>
      <x:c r="C29" t="str">
        <x:v>window_opening_area_ratio</x:v>
      </x:c>
      <x:c r="D29" t="str">
        <x:v>&gt;=</x:v>
      </x:c>
      <x:c r="E29" t="n">
        <x:v>0.2</x:v>
      </x:c>
      <x:c r="F29" t="str">
        <x:v>floor area fraction</x:v>
      </x:c>
      <x:c r="G29" t="str">
        <x:v>Regulation 70(3)</x:v>
      </x:c>
      <x:c r="H29" t="str">
        <x:v>Verified in uploaded 2021 Gazette</x:v>
      </x:c>
      <x:c r="I29" t="str">
        <x:v>1/5 floor area; assess applicability and other clauses</x:v>
      </x:c>
      <x:c r="J29" t="str">
        <x:v>Gazette Extraordinary 2235/54 (2021-07-08), uploaded PDF</x:v>
      </x:c>
    </x:row>
    <x:row r="30">
      <x:c r="A30" t="str">
        <x:v>WINDOW-OPENABLE</x:v>
      </x:c>
      <x:c r="B30" t="str">
        <x:v>Room with natural light/ventilation</x:v>
      </x:c>
      <x:c r="C30" t="str">
        <x:v>openable_fraction_of_openings</x:v>
      </x:c>
      <x:c r="D30" t="str">
        <x:v>&gt;=</x:v>
      </x:c>
      <x:c r="E30" t="n">
        <x:v>0.5</x:v>
      </x:c>
      <x:c r="F30" t="str">
        <x:v>opening area fraction</x:v>
      </x:c>
      <x:c r="G30" t="str">
        <x:v>Regulation 70(3)</x:v>
      </x:c>
      <x:c r="H30" t="str">
        <x:v>Verified in uploaded 2021 Gazette</x:v>
      </x:c>
      <x:c r="I30" t="str">
        <x:v>At least 50% of windows/openings openable</x:v>
      </x:c>
      <x:c r="J30" t="str">
        <x:v>Gazette Extraordinary 2235/54 (2021-07-08), uploaded PDF</x:v>
      </x:c>
    </x:row>
    <x:row r="31">
      <x:c r="A31" t="str">
        <x:v>TOILET-BOUNDARY</x:v>
      </x:c>
      <x:c r="B31" t="str">
        <x:v>Toilet/bathroom ventilation</x:v>
      </x:c>
      <x:c r="C31" t="str">
        <x:v>opposite_open_space_boundary_distance</x:v>
      </x:c>
      <x:c r="D31" t="str">
        <x:v>&gt;=</x:v>
      </x:c>
      <x:c r="E31" t="n">
        <x:v>1</x:v>
      </x:c>
      <x:c r="F31" t="str">
        <x:v>m</x:v>
      </x:c>
      <x:c r="G31" t="str">
        <x:v>Regulation 71(5)</x:v>
      </x:c>
      <x:c r="H31" t="str">
        <x:v>Verified in uploaded 2021 Gazette</x:v>
      </x:c>
      <x:c r="I31" t="str"/>
      <x:c r="J31" t="str">
        <x:v>Gazette Extraordinary 2235/54 (2021-07-08), uploaded PDF</x:v>
      </x:c>
    </x:row>
    <x:row r="32">
      <x:c r="A32" t="str">
        <x:v>STAIR-WIDTH</x:v>
      </x:c>
      <x:c r="B32" t="str">
        <x:v>Internal stairs serving only one upper floor</x:v>
      </x:c>
      <x:c r="C32" t="str">
        <x:v>minimum_stair_width</x:v>
      </x:c>
      <x:c r="D32" t="str">
        <x:v>&gt;=</x:v>
      </x:c>
      <x:c r="E32" t="n">
        <x:v>750</x:v>
      </x:c>
      <x:c r="F32" t="str">
        <x:v>mm</x:v>
      </x:c>
      <x:c r="G32" t="str">
        <x:v>Schedule 8 / Regulation 68</x:v>
      </x:c>
      <x:c r="H32" t="str">
        <x:v>Verified in uploaded 2021 Gazette</x:v>
      </x:c>
      <x:c r="I32" t="str"/>
      <x:c r="J32" t="str">
        <x:v>Gazette Extraordinary 2235/54 (2021-07-08), uploaded PDF</x:v>
      </x:c>
    </x:row>
    <x:row r="33">
      <x:c r="A33" t="str">
        <x:v>STAIR-HEAD</x:v>
      </x:c>
      <x:c r="B33" t="str">
        <x:v>Internal stairs serving only one upper floor</x:v>
      </x:c>
      <x:c r="C33" t="str">
        <x:v>minimum_height_clearance</x:v>
      </x:c>
      <x:c r="D33" t="str">
        <x:v>&gt;=</x:v>
      </x:c>
      <x:c r="E33" t="n">
        <x:v>2.1</x:v>
      </x:c>
      <x:c r="F33" t="str">
        <x:v>m</x:v>
      </x:c>
      <x:c r="G33" t="str">
        <x:v>Schedule 8 / Regulation 68</x:v>
      </x:c>
      <x:c r="H33" t="str">
        <x:v>Verified in uploaded 2021 Gazette</x:v>
      </x:c>
      <x:c r="I33" t="str"/>
      <x:c r="J33" t="str">
        <x:v>Gazette Extraordinary 2235/54 (2021-07-08), uploaded PDF</x:v>
      </x:c>
    </x:row>
    <x:row r="34">
      <x:c r="A34" t="str">
        <x:v>STAIR-RISER</x:v>
      </x:c>
      <x:c r="B34" t="str">
        <x:v>Internal stairs serving only one upper floor</x:v>
      </x:c>
      <x:c r="C34" t="str">
        <x:v>maximum_riser</x:v>
      </x:c>
      <x:c r="D34" t="str">
        <x:v>&lt;=</x:v>
      </x:c>
      <x:c r="E34" t="n">
        <x:v>175</x:v>
      </x:c>
      <x:c r="F34" t="str">
        <x:v>mm</x:v>
      </x:c>
      <x:c r="G34" t="str">
        <x:v>Schedule 8 / Regulation 68</x:v>
      </x:c>
      <x:c r="H34" t="str">
        <x:v>Verified in uploaded 2021 Gazette</x:v>
      </x:c>
      <x:c r="I34" t="str"/>
      <x:c r="J34" t="str">
        <x:v>Gazette Extraordinary 2235/54 (2021-07-08), uploaded PDF</x:v>
      </x:c>
    </x:row>
    <x:row r="35">
      <x:c r="A35" t="str">
        <x:v>STAIR-TREAD</x:v>
      </x:c>
      <x:c r="B35" t="str">
        <x:v>Internal stairs serving only one upper floor</x:v>
      </x:c>
      <x:c r="C35" t="str">
        <x:v>minimum_tread</x:v>
      </x:c>
      <x:c r="D35" t="str">
        <x:v>&gt;=</x:v>
      </x:c>
      <x:c r="E35" t="n">
        <x:v>250</x:v>
      </x:c>
      <x:c r="F35" t="str">
        <x:v>mm</x:v>
      </x:c>
      <x:c r="G35" t="str">
        <x:v>Schedule 8 / Regulation 68</x:v>
      </x:c>
      <x:c r="H35" t="str">
        <x:v>Verified in uploaded 2021 Gazette</x:v>
      </x:c>
      <x:c r="I35" t="str"/>
      <x:c r="J35" t="str">
        <x:v>Gazette Extraordinary 2235/54 (2021-07-08), uploaded PDF</x:v>
      </x:c>
    </x:row>
    <x:row r="36">
      <x:c r="A36" t="str">
        <x:v>AIR-&lt;7m-AW</x:v>
      </x:c>
      <x:c r="B36" t="str">
        <x:v>All rooms</x:v>
      </x:c>
      <x:c r="C36" t="str">
        <x:v>minimum_clear_width</x:v>
      </x:c>
      <x:c r="D36" t="str">
        <x:v>&gt;=</x:v>
      </x:c>
      <x:c r="E36" t="n">
        <x:v>2.3</x:v>
      </x:c>
      <x:c r="F36" t="str">
        <x:v>m</x:v>
      </x:c>
      <x:c r="G36" t="str">
        <x:v>Schedule 9 / Regulation 71</x:v>
      </x:c>
      <x:c r="H36" t="str">
        <x:v>Verified in uploaded 2021 Gazette</x:v>
      </x:c>
      <x:c r="I36" t="str">
        <x:v>Building height &lt;7m; 75m+ all-room area has special incremental formula</x:v>
      </x:c>
      <x:c r="J36" t="str">
        <x:v>Gazette Extraordinary 2235/54 (2021-07-08), uploaded PDF</x:v>
      </x:c>
    </x:row>
    <x:row r="37">
      <x:c r="A37" t="str">
        <x:v>AIR-&lt;7m-AA</x:v>
      </x:c>
      <x:c r="B37" t="str">
        <x:v>All rooms</x:v>
      </x:c>
      <x:c r="C37" t="str">
        <x:v>minimum_airwell_area</x:v>
      </x:c>
      <x:c r="D37" t="str">
        <x:v>&gt;=</x:v>
      </x:c>
      <x:c r="E37" t="n">
        <x:v>5</x:v>
      </x:c>
      <x:c r="F37" t="str">
        <x:v>m²</x:v>
      </x:c>
      <x:c r="G37" t="str">
        <x:v>Schedule 9 / Regulation 71</x:v>
      </x:c>
      <x:c r="H37" t="str">
        <x:v>Verified in uploaded 2021 Gazette</x:v>
      </x:c>
      <x:c r="I37" t="str">
        <x:v>Building height &lt;7m; 75m+ all-room area has special incremental formula</x:v>
      </x:c>
      <x:c r="J37" t="str">
        <x:v>Gazette Extraordinary 2235/54 (2021-07-08), uploaded PDF</x:v>
      </x:c>
    </x:row>
    <x:row r="38">
      <x:c r="A38" t="str">
        <x:v>AIR-&lt;7m-UW</x:v>
      </x:c>
      <x:c r="B38" t="str">
        <x:v>Utility rooms</x:v>
      </x:c>
      <x:c r="C38" t="str">
        <x:v>minimum_clear_width</x:v>
      </x:c>
      <x:c r="D38" t="str">
        <x:v>&gt;=</x:v>
      </x:c>
      <x:c r="E38" t="n">
        <x:v>1</x:v>
      </x:c>
      <x:c r="F38" t="str">
        <x:v>m</x:v>
      </x:c>
      <x:c r="G38" t="str">
        <x:v>Schedule 9 / Regulation 71</x:v>
      </x:c>
      <x:c r="H38" t="str">
        <x:v>Verified in uploaded 2021 Gazette</x:v>
      </x:c>
      <x:c r="I38" t="str">
        <x:v>Building height &lt;7m; 75m+ all-room area has special incremental formula</x:v>
      </x:c>
      <x:c r="J38" t="str">
        <x:v>Gazette Extraordinary 2235/54 (2021-07-08), uploaded PDF</x:v>
      </x:c>
    </x:row>
    <x:row r="39">
      <x:c r="A39" t="str">
        <x:v>AIR-&lt;7m-UA</x:v>
      </x:c>
      <x:c r="B39" t="str">
        <x:v>Utility rooms</x:v>
      </x:c>
      <x:c r="C39" t="str">
        <x:v>minimum_airwell_area</x:v>
      </x:c>
      <x:c r="D39" t="str">
        <x:v>&gt;=</x:v>
      </x:c>
      <x:c r="E39" t="n">
        <x:v>1</x:v>
      </x:c>
      <x:c r="F39" t="str">
        <x:v>m²</x:v>
      </x:c>
      <x:c r="G39" t="str">
        <x:v>Schedule 9 / Regulation 71</x:v>
      </x:c>
      <x:c r="H39" t="str">
        <x:v>Verified in uploaded 2021 Gazette</x:v>
      </x:c>
      <x:c r="I39" t="str">
        <x:v>Building height &lt;7m; 75m+ all-room area has special incremental formula</x:v>
      </x:c>
      <x:c r="J39" t="str">
        <x:v>Gazette Extraordinary 2235/54 (2021-07-08), uploaded PDF</x:v>
      </x:c>
    </x:row>
    <x:row r="40">
      <x:c r="A40" t="str">
        <x:v>AIR-7–15m-AW</x:v>
      </x:c>
      <x:c r="B40" t="str">
        <x:v>All rooms</x:v>
      </x:c>
      <x:c r="C40" t="str">
        <x:v>minimum_clear_width</x:v>
      </x:c>
      <x:c r="D40" t="str">
        <x:v>&gt;=</x:v>
      </x:c>
      <x:c r="E40" t="n">
        <x:v>3</x:v>
      </x:c>
      <x:c r="F40" t="str">
        <x:v>m</x:v>
      </x:c>
      <x:c r="G40" t="str">
        <x:v>Schedule 9 / Regulation 71</x:v>
      </x:c>
      <x:c r="H40" t="str">
        <x:v>Verified in uploaded 2021 Gazette</x:v>
      </x:c>
      <x:c r="I40" t="str">
        <x:v>Building height 7–15m; 75m+ all-room area has special incremental formula</x:v>
      </x:c>
      <x:c r="J40" t="str">
        <x:v>Gazette Extraordinary 2235/54 (2021-07-08), uploaded PDF</x:v>
      </x:c>
    </x:row>
    <x:row r="41">
      <x:c r="A41" t="str">
        <x:v>AIR-7–15m-AA</x:v>
      </x:c>
      <x:c r="B41" t="str">
        <x:v>All rooms</x:v>
      </x:c>
      <x:c r="C41" t="str">
        <x:v>minimum_airwell_area</x:v>
      </x:c>
      <x:c r="D41" t="str">
        <x:v>&gt;=</x:v>
      </x:c>
      <x:c r="E41" t="n">
        <x:v>9</x:v>
      </x:c>
      <x:c r="F41" t="str">
        <x:v>m²</x:v>
      </x:c>
      <x:c r="G41" t="str">
        <x:v>Schedule 9 / Regulation 71</x:v>
      </x:c>
      <x:c r="H41" t="str">
        <x:v>Verified in uploaded 2021 Gazette</x:v>
      </x:c>
      <x:c r="I41" t="str">
        <x:v>Building height 7–15m; 75m+ all-room area has special incremental formula</x:v>
      </x:c>
      <x:c r="J41" t="str">
        <x:v>Gazette Extraordinary 2235/54 (2021-07-08), uploaded PDF</x:v>
      </x:c>
    </x:row>
    <x:row r="42">
      <x:c r="A42" t="str">
        <x:v>AIR-7–15m-UW</x:v>
      </x:c>
      <x:c r="B42" t="str">
        <x:v>Utility rooms</x:v>
      </x:c>
      <x:c r="C42" t="str">
        <x:v>minimum_clear_width</x:v>
      </x:c>
      <x:c r="D42" t="str">
        <x:v>&gt;=</x:v>
      </x:c>
      <x:c r="E42" t="n">
        <x:v>1</x:v>
      </x:c>
      <x:c r="F42" t="str">
        <x:v>m</x:v>
      </x:c>
      <x:c r="G42" t="str">
        <x:v>Schedule 9 / Regulation 71</x:v>
      </x:c>
      <x:c r="H42" t="str">
        <x:v>Verified in uploaded 2021 Gazette</x:v>
      </x:c>
      <x:c r="I42" t="str">
        <x:v>Building height 7–15m; 75m+ all-room area has special incremental formula</x:v>
      </x:c>
      <x:c r="J42" t="str">
        <x:v>Gazette Extraordinary 2235/54 (2021-07-08), uploaded PDF</x:v>
      </x:c>
    </x:row>
    <x:row r="43">
      <x:c r="A43" t="str">
        <x:v>AIR-7–15m-UA</x:v>
      </x:c>
      <x:c r="B43" t="str">
        <x:v>Utility rooms</x:v>
      </x:c>
      <x:c r="C43" t="str">
        <x:v>minimum_airwell_area</x:v>
      </x:c>
      <x:c r="D43" t="str">
        <x:v>&gt;=</x:v>
      </x:c>
      <x:c r="E43" t="n">
        <x:v>2</x:v>
      </x:c>
      <x:c r="F43" t="str">
        <x:v>m²</x:v>
      </x:c>
      <x:c r="G43" t="str">
        <x:v>Schedule 9 / Regulation 71</x:v>
      </x:c>
      <x:c r="H43" t="str">
        <x:v>Verified in uploaded 2021 Gazette</x:v>
      </x:c>
      <x:c r="I43" t="str">
        <x:v>Building height 7–15m; 75m+ all-room area has special incremental formula</x:v>
      </x:c>
      <x:c r="J43" t="str">
        <x:v>Gazette Extraordinary 2235/54 (2021-07-08), uploaded PDF</x:v>
      </x:c>
    </x:row>
    <x:row r="44">
      <x:c r="A44" t="str">
        <x:v>AIR-15–30m-AW</x:v>
      </x:c>
      <x:c r="B44" t="str">
        <x:v>All rooms</x:v>
      </x:c>
      <x:c r="C44" t="str">
        <x:v>minimum_clear_width</x:v>
      </x:c>
      <x:c r="D44" t="str">
        <x:v>&gt;=</x:v>
      </x:c>
      <x:c r="E44" t="n">
        <x:v>4</x:v>
      </x:c>
      <x:c r="F44" t="str">
        <x:v>m</x:v>
      </x:c>
      <x:c r="G44" t="str">
        <x:v>Schedule 9 / Regulation 71</x:v>
      </x:c>
      <x:c r="H44" t="str">
        <x:v>Verified in uploaded 2021 Gazette</x:v>
      </x:c>
      <x:c r="I44" t="str">
        <x:v>Building height 15–30m; 75m+ all-room area has special incremental formula</x:v>
      </x:c>
      <x:c r="J44" t="str">
        <x:v>Gazette Extraordinary 2235/54 (2021-07-08), uploaded PDF</x:v>
      </x:c>
    </x:row>
    <x:row r="45">
      <x:c r="A45" t="str">
        <x:v>AIR-15–30m-AA</x:v>
      </x:c>
      <x:c r="B45" t="str">
        <x:v>All rooms</x:v>
      </x:c>
      <x:c r="C45" t="str">
        <x:v>minimum_airwell_area</x:v>
      </x:c>
      <x:c r="D45" t="str">
        <x:v>&gt;=</x:v>
      </x:c>
      <x:c r="E45" t="n">
        <x:v>16</x:v>
      </x:c>
      <x:c r="F45" t="str">
        <x:v>m²</x:v>
      </x:c>
      <x:c r="G45" t="str">
        <x:v>Schedule 9 / Regulation 71</x:v>
      </x:c>
      <x:c r="H45" t="str">
        <x:v>Verified in uploaded 2021 Gazette</x:v>
      </x:c>
      <x:c r="I45" t="str">
        <x:v>Building height 15–30m; 75m+ all-room area has special incremental formula</x:v>
      </x:c>
      <x:c r="J45" t="str">
        <x:v>Gazette Extraordinary 2235/54 (2021-07-08), uploaded PDF</x:v>
      </x:c>
    </x:row>
    <x:row r="46">
      <x:c r="A46" t="str">
        <x:v>AIR-15–30m-UW</x:v>
      </x:c>
      <x:c r="B46" t="str">
        <x:v>Utility rooms</x:v>
      </x:c>
      <x:c r="C46" t="str">
        <x:v>minimum_clear_width</x:v>
      </x:c>
      <x:c r="D46" t="str">
        <x:v>&gt;=</x:v>
      </x:c>
      <x:c r="E46" t="n">
        <x:v>1</x:v>
      </x:c>
      <x:c r="F46" t="str">
        <x:v>m</x:v>
      </x:c>
      <x:c r="G46" t="str">
        <x:v>Schedule 9 / Regulation 71</x:v>
      </x:c>
      <x:c r="H46" t="str">
        <x:v>Verified in uploaded 2021 Gazette</x:v>
      </x:c>
      <x:c r="I46" t="str">
        <x:v>Building height 15–30m; 75m+ all-room area has special incremental formula</x:v>
      </x:c>
      <x:c r="J46" t="str">
        <x:v>Gazette Extraordinary 2235/54 (2021-07-08), uploaded PDF</x:v>
      </x:c>
    </x:row>
    <x:row r="47">
      <x:c r="A47" t="str">
        <x:v>AIR-15–30m-UA</x:v>
      </x:c>
      <x:c r="B47" t="str">
        <x:v>Utility rooms</x:v>
      </x:c>
      <x:c r="C47" t="str">
        <x:v>minimum_airwell_area</x:v>
      </x:c>
      <x:c r="D47" t="str">
        <x:v>&gt;=</x:v>
      </x:c>
      <x:c r="E47" t="n">
        <x:v>2</x:v>
      </x:c>
      <x:c r="F47" t="str">
        <x:v>m²</x:v>
      </x:c>
      <x:c r="G47" t="str">
        <x:v>Schedule 9 / Regulation 71</x:v>
      </x:c>
      <x:c r="H47" t="str">
        <x:v>Verified in uploaded 2021 Gazette</x:v>
      </x:c>
      <x:c r="I47" t="str">
        <x:v>Building height 15–30m; 75m+ all-room area has special incremental formula</x:v>
      </x:c>
      <x:c r="J47" t="str">
        <x:v>Gazette Extraordinary 2235/54 (2021-07-08), uploaded PDF</x:v>
      </x:c>
    </x:row>
    <x:row r="48">
      <x:c r="A48" t="str">
        <x:v>AIR-30–50m-AW</x:v>
      </x:c>
      <x:c r="B48" t="str">
        <x:v>All rooms</x:v>
      </x:c>
      <x:c r="C48" t="str">
        <x:v>minimum_clear_width</x:v>
      </x:c>
      <x:c r="D48" t="str">
        <x:v>&gt;=</x:v>
      </x:c>
      <x:c r="E48" t="n">
        <x:v>5</x:v>
      </x:c>
      <x:c r="F48" t="str">
        <x:v>m</x:v>
      </x:c>
      <x:c r="G48" t="str">
        <x:v>Schedule 9 / Regulation 71</x:v>
      </x:c>
      <x:c r="H48" t="str">
        <x:v>Verified in uploaded 2021 Gazette</x:v>
      </x:c>
      <x:c r="I48" t="str">
        <x:v>Building height 30–50m; 75m+ all-room area has special incremental formula</x:v>
      </x:c>
      <x:c r="J48" t="str">
        <x:v>Gazette Extraordinary 2235/54 (2021-07-08), uploaded PDF</x:v>
      </x:c>
    </x:row>
    <x:row r="49">
      <x:c r="A49" t="str">
        <x:v>AIR-30–50m-AA</x:v>
      </x:c>
      <x:c r="B49" t="str">
        <x:v>All rooms</x:v>
      </x:c>
      <x:c r="C49" t="str">
        <x:v>minimum_airwell_area</x:v>
      </x:c>
      <x:c r="D49" t="str">
        <x:v>&gt;=</x:v>
      </x:c>
      <x:c r="E49" t="n">
        <x:v>25</x:v>
      </x:c>
      <x:c r="F49" t="str">
        <x:v>m²</x:v>
      </x:c>
      <x:c r="G49" t="str">
        <x:v>Schedule 9 / Regulation 71</x:v>
      </x:c>
      <x:c r="H49" t="str">
        <x:v>Verified in uploaded 2021 Gazette</x:v>
      </x:c>
      <x:c r="I49" t="str">
        <x:v>Building height 30–50m; 75m+ all-room area has special incremental formula</x:v>
      </x:c>
      <x:c r="J49" t="str">
        <x:v>Gazette Extraordinary 2235/54 (2021-07-08), uploaded PDF</x:v>
      </x:c>
    </x:row>
    <x:row r="50">
      <x:c r="A50" t="str">
        <x:v>AIR-30–50m-UW</x:v>
      </x:c>
      <x:c r="B50" t="str">
        <x:v>Utility rooms</x:v>
      </x:c>
      <x:c r="C50" t="str">
        <x:v>minimum_clear_width</x:v>
      </x:c>
      <x:c r="D50" t="str">
        <x:v>&gt;=</x:v>
      </x:c>
      <x:c r="E50" t="n">
        <x:v>1</x:v>
      </x:c>
      <x:c r="F50" t="str">
        <x:v>m</x:v>
      </x:c>
      <x:c r="G50" t="str">
        <x:v>Schedule 9 / Regulation 71</x:v>
      </x:c>
      <x:c r="H50" t="str">
        <x:v>Verified in uploaded 2021 Gazette</x:v>
      </x:c>
      <x:c r="I50" t="str">
        <x:v>Building height 30–50m; 75m+ all-room area has special incremental formula</x:v>
      </x:c>
      <x:c r="J50" t="str">
        <x:v>Gazette Extraordinary 2235/54 (2021-07-08), uploaded PDF</x:v>
      </x:c>
    </x:row>
    <x:row r="51">
      <x:c r="A51" t="str">
        <x:v>AIR-30–50m-UA</x:v>
      </x:c>
      <x:c r="B51" t="str">
        <x:v>Utility rooms</x:v>
      </x:c>
      <x:c r="C51" t="str">
        <x:v>minimum_airwell_area</x:v>
      </x:c>
      <x:c r="D51" t="str">
        <x:v>&gt;=</x:v>
      </x:c>
      <x:c r="E51" t="n">
        <x:v>2.25</x:v>
      </x:c>
      <x:c r="F51" t="str">
        <x:v>m²</x:v>
      </x:c>
      <x:c r="G51" t="str">
        <x:v>Schedule 9 / Regulation 71</x:v>
      </x:c>
      <x:c r="H51" t="str">
        <x:v>Verified in uploaded 2021 Gazette</x:v>
      </x:c>
      <x:c r="I51" t="str">
        <x:v>Building height 30–50m; 75m+ all-room area has special incremental formula</x:v>
      </x:c>
      <x:c r="J51" t="str">
        <x:v>Gazette Extraordinary 2235/54 (2021-07-08), uploaded PDF</x:v>
      </x:c>
    </x:row>
    <x:row r="52">
      <x:c r="A52" t="str">
        <x:v>AIR-50–75m-AW</x:v>
      </x:c>
      <x:c r="B52" t="str">
        <x:v>All rooms</x:v>
      </x:c>
      <x:c r="C52" t="str">
        <x:v>minimum_clear_width</x:v>
      </x:c>
      <x:c r="D52" t="str">
        <x:v>&gt;=</x:v>
      </x:c>
      <x:c r="E52" t="n">
        <x:v>6</x:v>
      </x:c>
      <x:c r="F52" t="str">
        <x:v>m</x:v>
      </x:c>
      <x:c r="G52" t="str">
        <x:v>Schedule 9 / Regulation 71</x:v>
      </x:c>
      <x:c r="H52" t="str">
        <x:v>Verified in uploaded 2021 Gazette</x:v>
      </x:c>
      <x:c r="I52" t="str">
        <x:v>Building height 50–75m; 75m+ all-room area has special incremental formula</x:v>
      </x:c>
      <x:c r="J52" t="str">
        <x:v>Gazette Extraordinary 2235/54 (2021-07-08), uploaded PDF</x:v>
      </x:c>
    </x:row>
    <x:row r="53">
      <x:c r="A53" t="str">
        <x:v>AIR-50–75m-AA</x:v>
      </x:c>
      <x:c r="B53" t="str">
        <x:v>All rooms</x:v>
      </x:c>
      <x:c r="C53" t="str">
        <x:v>minimum_airwell_area</x:v>
      </x:c>
      <x:c r="D53" t="str">
        <x:v>&gt;=</x:v>
      </x:c>
      <x:c r="E53" t="n">
        <x:v>36</x:v>
      </x:c>
      <x:c r="F53" t="str">
        <x:v>m²</x:v>
      </x:c>
      <x:c r="G53" t="str">
        <x:v>Schedule 9 / Regulation 71</x:v>
      </x:c>
      <x:c r="H53" t="str">
        <x:v>Verified in uploaded 2021 Gazette</x:v>
      </x:c>
      <x:c r="I53" t="str">
        <x:v>Building height 50–75m; 75m+ all-room area has special incremental formula</x:v>
      </x:c>
      <x:c r="J53" t="str">
        <x:v>Gazette Extraordinary 2235/54 (2021-07-08), uploaded PDF</x:v>
      </x:c>
    </x:row>
    <x:row r="54">
      <x:c r="A54" t="str">
        <x:v>AIR-50–75m-UW</x:v>
      </x:c>
      <x:c r="B54" t="str">
        <x:v>Utility rooms</x:v>
      </x:c>
      <x:c r="C54" t="str">
        <x:v>minimum_clear_width</x:v>
      </x:c>
      <x:c r="D54" t="str">
        <x:v>&gt;=</x:v>
      </x:c>
      <x:c r="E54" t="n">
        <x:v>1.5</x:v>
      </x:c>
      <x:c r="F54" t="str">
        <x:v>m</x:v>
      </x:c>
      <x:c r="G54" t="str">
        <x:v>Schedule 9 / Regulation 71</x:v>
      </x:c>
      <x:c r="H54" t="str">
        <x:v>Verified in uploaded 2021 Gazette</x:v>
      </x:c>
      <x:c r="I54" t="str">
        <x:v>Building height 50–75m; 75m+ all-room area has special incremental formula</x:v>
      </x:c>
      <x:c r="J54" t="str">
        <x:v>Gazette Extraordinary 2235/54 (2021-07-08), uploaded PDF</x:v>
      </x:c>
    </x:row>
    <x:row r="55">
      <x:c r="A55" t="str">
        <x:v>AIR-50–75m-UA</x:v>
      </x:c>
      <x:c r="B55" t="str">
        <x:v>Utility rooms</x:v>
      </x:c>
      <x:c r="C55" t="str">
        <x:v>minimum_airwell_area</x:v>
      </x:c>
      <x:c r="D55" t="str">
        <x:v>&gt;=</x:v>
      </x:c>
      <x:c r="E55" t="n">
        <x:v>2.25</x:v>
      </x:c>
      <x:c r="F55" t="str">
        <x:v>m²</x:v>
      </x:c>
      <x:c r="G55" t="str">
        <x:v>Schedule 9 / Regulation 71</x:v>
      </x:c>
      <x:c r="H55" t="str">
        <x:v>Verified in uploaded 2021 Gazette</x:v>
      </x:c>
      <x:c r="I55" t="str">
        <x:v>Building height 50–75m; 75m+ all-room area has special incremental formula</x:v>
      </x:c>
      <x:c r="J55" t="str">
        <x:v>Gazette Extraordinary 2235/54 (2021-07-08), uploaded PDF</x:v>
      </x:c>
    </x:row>
    <x:row r="56">
      <x:c r="A56" t="str">
        <x:v>AIR-75m+-AW</x:v>
      </x:c>
      <x:c r="B56" t="str">
        <x:v>All rooms</x:v>
      </x:c>
      <x:c r="C56" t="str">
        <x:v>minimum_clear_width</x:v>
      </x:c>
      <x:c r="D56" t="str">
        <x:v>&gt;=</x:v>
      </x:c>
      <x:c r="E56" t="n">
        <x:v>6</x:v>
      </x:c>
      <x:c r="F56" t="str">
        <x:v>m</x:v>
      </x:c>
      <x:c r="G56" t="str">
        <x:v>Schedule 9 / Regulation 71</x:v>
      </x:c>
      <x:c r="H56" t="str">
        <x:v>Verified in uploaded 2021 Gazette</x:v>
      </x:c>
      <x:c r="I56" t="str">
        <x:v>Building height 75m+; 75m+ all-room area has special incremental formula</x:v>
      </x:c>
      <x:c r="J56" t="str">
        <x:v>Gazette Extraordinary 2235/54 (2021-07-08), uploaded PDF</x:v>
      </x:c>
    </x:row>
    <x:row r="57">
      <x:c r="A57" t="str">
        <x:v>AIR-75m+-UW</x:v>
      </x:c>
      <x:c r="B57" t="str">
        <x:v>Utility rooms</x:v>
      </x:c>
      <x:c r="C57" t="str">
        <x:v>minimum_clear_width</x:v>
      </x:c>
      <x:c r="D57" t="str">
        <x:v>&gt;=</x:v>
      </x:c>
      <x:c r="E57" t="n">
        <x:v>1.5</x:v>
      </x:c>
      <x:c r="F57" t="str">
        <x:v>m</x:v>
      </x:c>
      <x:c r="G57" t="str">
        <x:v>Schedule 9 / Regulation 71</x:v>
      </x:c>
      <x:c r="H57" t="str">
        <x:v>Verified in uploaded 2021 Gazette</x:v>
      </x:c>
      <x:c r="I57" t="str">
        <x:v>Building height 75m+; 75m+ all-room area has special incremental formula</x:v>
      </x:c>
      <x:c r="J57" t="str">
        <x:v>Gazette Extraordinary 2235/54 (2021-07-08), uploaded PDF</x:v>
      </x:c>
    </x:row>
    <x:row r="58">
      <x:c r="A58" t="str">
        <x:v>AIR-75m+-UA</x:v>
      </x:c>
      <x:c r="B58" t="str">
        <x:v>Utility rooms</x:v>
      </x:c>
      <x:c r="C58" t="str">
        <x:v>minimum_airwell_area</x:v>
      </x:c>
      <x:c r="D58" t="str">
        <x:v>&gt;=</x:v>
      </x:c>
      <x:c r="E58" t="n">
        <x:v>2.25</x:v>
      </x:c>
      <x:c r="F58" t="str">
        <x:v>m²</x:v>
      </x:c>
      <x:c r="G58" t="str">
        <x:v>Schedule 9 / Regulation 71</x:v>
      </x:c>
      <x:c r="H58" t="str">
        <x:v>Verified in uploaded 2021 Gazette</x:v>
      </x:c>
      <x:c r="I58" t="str">
        <x:v>Building height 75m+; 75m+ all-room area has special incremental formula</x:v>
      </x:c>
      <x:c r="J58" t="str">
        <x:v>Gazette Extraordinary 2235/54 (2021-07-08), uploaded PDF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>
      <x:c r="A1" s="6" t="str">
        <x:v>Test</x:v>
      </x:c>
      <x:c r="B1" s="6" t="str">
        <x:v>Width (m)</x:v>
      </x:c>
      <x:c r="C1" s="6" t="str">
        <x:v>Length (m)</x:v>
      </x:c>
      <x:c r="D1" s="6" t="str">
        <x:v>Required area (m²)</x:v>
      </x:c>
      <x:c r="E1" s="6" t="str">
        <x:v>Calculated area (m²)</x:v>
      </x:c>
      <x:c r="F1" s="6" t="str">
        <x:v>Area result</x:v>
      </x:c>
      <x:c r="G1" s="6" t="str">
        <x:v>Note</x:v>
      </x:c>
    </x:row>
    <x:row r="2">
      <x:c r="A2" t="str">
        <x:v>Kitchen area</x:v>
      </x:c>
      <x:c r="B2" t="n">
        <x:v>2</x:v>
      </x:c>
      <x:c r="C2" t="n">
        <x:v>2.5</x:v>
      </x:c>
      <x:c r="D2" t="n">
        <x:v>5.5</x:v>
      </x:c>
      <x:c r="E2" t="n">
        <x:f>B2*C2</x:f>
        <x:v>5</x:v>
      </x:c>
      <x:c r="F2" t="str">
        <x:f>IF(E2&gt;=D2,"PASS","FAIL")</x:f>
        <x:v>FAIL</x:v>
      </x:c>
      <x:c r="G2" t="str">
        <x:v>Area only; width check separately</x:v>
      </x:c>
    </x:row>
    <x:row r="3">
      <x:c r="A3" t="str">
        <x:v>First room area</x:v>
      </x:c>
      <x:c r="B3" t="n">
        <x:v>3</x:v>
      </x:c>
      <x:c r="C3" t="n">
        <x:v>3.2</x:v>
      </x:c>
      <x:c r="D3" t="n">
        <x:v>9.5</x:v>
      </x:c>
      <x:c r="E3" t="n">
        <x:f>B3*C3</x:f>
        <x:v>9.600000000000001</x:v>
      </x:c>
      <x:c r="F3" t="str">
        <x:f>IF(E3&gt;=D3,"PASS","FAIL")</x:f>
        <x:v>PASS</x:v>
      </x:c>
      <x:c r="G3" t="str">
        <x:v>Multi-room dwelling</x:v>
      </x:c>
    </x:row>
    <x:row r="4">
      <x:c r="A4" t="str">
        <x:v>Bathroom area</x:v>
      </x:c>
      <x:c r="B4" t="n">
        <x:v>1</x:v>
      </x:c>
      <x:c r="C4" t="n">
        <x:v>1.6</x:v>
      </x:c>
      <x:c r="D4" t="n">
        <x:v>1.7</x:v>
      </x:c>
      <x:c r="E4" t="n">
        <x:f>B4*C4</x:f>
        <x:v>1.6</x:v>
      </x:c>
      <x:c r="F4" t="str">
        <x:f>IF(E4&gt;=D4,"PASS","FAIL")</x:f>
        <x:v>FAIL</x:v>
      </x:c>
      <x:c r="G4" t="str">
        <x:v>Area only; width check separately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4" t="str">
        <x:v>BuildMind — Member 3 / Gazette 2235-54</x:v>
      </x:c>
      <x:c r="B1" s="4" t="str"/>
    </x:row>
    <x:row r="2">
      <x:c r="A2" t="str">
        <x:v>Dataset scope</x:v>
      </x:c>
      <x:c r="B2" t="str">
        <x:v>Only rules directly extracted from the uploaded Gazette Extraordinary 2235/54 (2021).</x:v>
      </x:c>
    </x:row>
    <x:row r="3">
      <x:c r="A3" t="str">
        <x:v>Legal currency</x:v>
      </x:c>
      <x:c r="B3" t="str">
        <x:v>This workbook DOES NOT verify later amendments, local development plans, site jurisdiction, exceptions or approvals.</x:v>
      </x:c>
    </x:row>
    <x:row r="4">
      <x:c r="A4" t="str">
        <x:v>Room categories</x:v>
      </x:c>
      <x:c r="B4" t="str">
        <x:v>Schedule 7 uses first/additional room in a dwelling unit; do not equate automatically to named bedrooms.</x:v>
      </x:c>
    </x:row>
    <x:row r="5">
      <x:c r="A5" t="str">
        <x:v>Room minimums</x:v>
      </x:c>
      <x:c r="B5" t="str">
        <x:v>Legal minima are not comfortable design recommendations; furniture and clearances require separate sourced research.</x:v>
      </x:c>
    </x:row>
    <x:row r="6">
      <x:c r="A6" t="str">
        <x:v>Openings</x:v>
      </x:c>
      <x:c r="B6" t="str">
        <x:v>Regulation 70(3) has related conditions in Regulations 70–72; assess full context.</x:v>
      </x:c>
    </x:row>
    <x:row r="7">
      <x:c r="A7" t="str">
        <x:v>Airwells</x:v>
      </x:c>
      <x:c r="B7" t="str">
        <x:v>75m+ all-room minimum area is formula-based; deliberately not encoded as a fixed threshold.</x:v>
      </x:c>
    </x:row>
    <x:row r="8">
      <x:c r="A8" t="str">
        <x:v>Use in AI</x:v>
      </x:c>
      <x:c r="B8" t="str">
        <x:v>Rules engine must apply applicability predicates and return needs-review when inputs or jurisdiction are unknown.</x:v>
      </x:c>
    </x:row>
    <x:row r="9">
      <x:c r="A9" t="str">
        <x:v>Source</x:v>
      </x:c>
      <x:c r="B9" t="str">
        <x:v>User-provided PDF: 2235-54_E(1).pdf, Gazette 08 July 2021.</x:v>
      </x:c>
    </x:row>
  </x:sheetData>
  <x:pageMargins left="0.7" right="0.7" top="0.75" bottom="0.75" header="0.3" footer="0.3"/>
</x:worksheet>
</file>