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ca30e3d5ba4482" /></Relationships>
</file>

<file path=xl/workbook.xml><?xml version="1.0" encoding="utf-8"?>
<x:workbook xmlns:x="http://schemas.openxmlformats.org/spreadsheetml/2006/main">
  <x:sheets>
    <x:sheet xmlns:r="http://schemas.openxmlformats.org/officeDocument/2006/relationships" name="Overview" sheetId="1" r:id="Rc246fb2d58ab4aa6"/>
    <x:sheet xmlns:r="http://schemas.openxmlformats.org/officeDocument/2006/relationships" name="Room Rules" sheetId="2" r:id="R9ba262693a8b4beb"/>
    <x:sheet xmlns:r="http://schemas.openxmlformats.org/officeDocument/2006/relationships" name="Stairs" sheetId="3" r:id="R2c68d6faa10d4ea5"/>
    <x:sheet xmlns:r="http://schemas.openxmlformats.org/officeDocument/2006/relationships" name="Openings" sheetId="4" r:id="Ree0bdd615f0c4258"/>
    <x:sheet xmlns:r="http://schemas.openxmlformats.org/officeDocument/2006/relationships" name="Air Wells" sheetId="5" r:id="Ra906cb082aae4fbf"/>
    <x:sheet xmlns:r="http://schemas.openxmlformats.org/officeDocument/2006/relationships" name="Planning" sheetId="6" r:id="R8d9779b115d54b21"/>
    <x:sheet xmlns:r="http://schemas.openxmlformats.org/officeDocument/2006/relationships" name="Parking" sheetId="7" r:id="Rb6a846827e0b4a25"/>
    <x:sheet xmlns:r="http://schemas.openxmlformats.org/officeDocument/2006/relationships" name="Local Review" sheetId="8" r:id="R232dccb899854849"/>
    <x:sheet xmlns:r="http://schemas.openxmlformats.org/officeDocument/2006/relationships" name="Inputs" sheetId="9" r:id="Rf4eb0a8bc7b646eb"/>
    <x:sheet xmlns:r="http://schemas.openxmlformats.org/officeDocument/2006/relationships" name="Gaps" sheetId="10" r:id="Re960cab2faba40d2"/>
    <x:sheet xmlns:r="http://schemas.openxmlformats.org/officeDocument/2006/relationships" name="Missing Schemas" sheetId="11" r:id="R9b4cb7899cf04d83"/>
    <x:sheet xmlns:r="http://schemas.openxmlformats.org/officeDocument/2006/relationships" name="Test Cases" sheetId="12" r:id="R591840aa90c04f0f"/>
    <x:sheet xmlns:r="http://schemas.openxmlformats.org/officeDocument/2006/relationships" name="Sources" sheetId="13" r:id="Rb273bd0292274b12"/>
    <x:sheet xmlns:r="http://schemas.openxmlformats.org/officeDocument/2006/relationships" name="Candidate Pages" sheetId="14" r:id="Ref261cd2d20a4a09"/>
    <x:sheet xmlns:r="http://schemas.openxmlformats.org/officeDocument/2006/relationships" name="Data Dictionary" sheetId="15" r:id="R7ed2261bda4a41bd"/>
    <x:sheet xmlns:r="http://schemas.openxmlformats.org/officeDocument/2006/relationships" name="Test Results" sheetId="16" r:id="Rade501d1ce61465c"/>
    <x:sheet xmlns:r="http://schemas.openxmlformats.org/officeDocument/2006/relationships" name="Audit" sheetId="17" r:id="R9f2ee7059b3649c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General"/>
    <x:numFmt numFmtId="201" formatCode="#,##0"/>
    <x:numFmt numFmtId="202" formatCode="yyyy-mm-dd"/>
  </x:numFmts>
  <x:fonts count="5">
    <x:font>
      <x:sz val="11"/>
      <x:name val="Carlito"/>
    </x:font>
    <x:font>
      <x:sz val="11"/>
      <x:name val="Arial"/>
    </x:font>
    <x:font>
      <x:sz val="10"/>
      <x:name val="Arial"/>
    </x:font>
    <x:font>
      <x:sz val="10"/>
      <x:color rgb="FFFFFFFF"/>
      <x:name val="Arial"/>
    </x:font>
    <x:font>
      <x:b/>
      <x:sz val="10"/>
      <x:color rgb="FFFFFFFF"/>
      <x:name val="Arial"/>
    </x:font>
  </x:fonts>
  <x:fills count="4">
    <x:fill>
      <x:patternFill patternType="none"/>
    </x:fill>
    <x:fill>
      <x:patternFill patternType="gray125"/>
    </x:fill>
    <x:fill>
      <x:patternFill patternType="solid">
        <x:fgColor rgb="FF16324F"/>
      </x:patternFill>
    </x:fill>
    <x:fill>
      <x:patternFill patternType="solid">
        <x:fgColor rgb="FFEAF3F6"/>
      </x:patternFill>
    </x:fill>
  </x:fills>
  <x:borders count="1">
    <x:border>
      <x:left/>
      <x:right/>
      <x:top/>
      <x:bottom/>
      <x:diagonal/>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200" fontId="4" fillId="2" borderId="0"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200" fontId="2" fillId="3"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1" fontId="4" fillId="2" borderId="0" xfId="0" applyNumberFormat="1" applyFont="1" applyFill="1" applyBorder="1" applyAlignment="1">
      <x:alignment vertical="center" wrapText="1"/>
    </x:xf>
    <x:xf numFmtId="201" fontId="2" fillId="0" borderId="0" xfId="0" applyNumberFormat="1" applyFont="1" applyFill="1" applyBorder="1" applyAlignment="1">
      <x:alignment vertical="center" wrapText="1"/>
    </x:xf>
    <x:xf numFmtId="202" fontId="4" fillId="2" borderId="0" xfId="0" applyNumberFormat="1" applyFont="1" applyFill="1" applyBorder="1" applyAlignment="1">
      <x:alignment vertical="center" wrapText="1"/>
    </x:xf>
    <x:xf numFmtId="202" fontId="2"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2" fillId="3" borderId="0" xfId="0" applyNumberFormat="1" applyFont="1" applyFill="1" applyBorder="1" applyAlignment="1">
      <x:alignment vertical="center" wrapText="1"/>
    </x:xf>
    <x:xf numFmtId="202" fontId="2" fillId="3"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0" fontId="2"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0" fontId="2" fillId="3"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2" fillId="2" borderId="0" xfId="0" applyNumberFormat="1" applyFont="1" applyFill="1" applyBorder="1"/>
    <x:xf numFmtId="0" fontId="3" fillId="2" borderId="0" xfId="0" applyNumberFormat="1" applyFont="1" applyFill="1" applyBorder="1"/>
  </x:cellXfs>
  <x:cellStyles count="1">
    <x:cellStyle name="Normal" xfId="0"/>
  </x:cellStyles>
  <x:dxfs count="38">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
      <x:font>
        <x:color rgb="FF8A4A00"/>
      </x:font>
      <x:fill>
        <x:patternFill patternType="solid">
          <x:bgColor rgb="FFFFF1C7"/>
        </x:patternFill>
      </x:fill>
    </x:dxf>
    <x:dxf>
      <x:font>
        <x:color rgb="FFA32020"/>
      </x:font>
      <x:fill>
        <x:patternFill patternType="solid">
          <x:bgColor rgb="FFFCE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6e547a2f5444a5" /><Relationship Type="http://schemas.openxmlformats.org/officeDocument/2006/relationships/theme" Target="/xl/theme/theme1.xml" Id="Ra628742a207a413f" /><Relationship Type="http://schemas.microsoft.com/office/2022/11/relationships/FeaturePropertyBag" Target="/xl/featurePropertyBag/featurePropertyBag.xml" Id="R2f942a63dd5742de" /><Relationship Type="http://schemas.openxmlformats.org/officeDocument/2006/relationships/sharedStrings" Target="/xl/sharedStrings.xml" Id="Rdb1087ba63cd43c7" /><Relationship Type="http://schemas.openxmlformats.org/officeDocument/2006/relationships/worksheet" Target="/xl/worksheets/sheet1.xml" Id="Rc246fb2d58ab4aa6" /><Relationship Type="http://schemas.openxmlformats.org/officeDocument/2006/relationships/worksheet" Target="/xl/worksheets/sheet2.xml" Id="R9ba262693a8b4beb" /><Relationship Type="http://schemas.openxmlformats.org/officeDocument/2006/relationships/worksheet" Target="/xl/worksheets/sheet3.xml" Id="R2c68d6faa10d4ea5" /><Relationship Type="http://schemas.openxmlformats.org/officeDocument/2006/relationships/worksheet" Target="/xl/worksheets/sheet4.xml" Id="Ree0bdd615f0c4258" /><Relationship Type="http://schemas.openxmlformats.org/officeDocument/2006/relationships/worksheet" Target="/xl/worksheets/sheet5.xml" Id="Ra906cb082aae4fbf" /><Relationship Type="http://schemas.openxmlformats.org/officeDocument/2006/relationships/worksheet" Target="/xl/worksheets/sheet6.xml" Id="R8d9779b115d54b21" /><Relationship Type="http://schemas.openxmlformats.org/officeDocument/2006/relationships/worksheet" Target="/xl/worksheets/sheet7.xml" Id="Rb6a846827e0b4a25" /><Relationship Type="http://schemas.openxmlformats.org/officeDocument/2006/relationships/worksheet" Target="/xl/worksheets/sheet8.xml" Id="R232dccb899854849" /><Relationship Type="http://schemas.openxmlformats.org/officeDocument/2006/relationships/worksheet" Target="/xl/worksheets/sheet9.xml" Id="Rf4eb0a8bc7b646eb" /><Relationship Type="http://schemas.openxmlformats.org/officeDocument/2006/relationships/worksheet" Target="/xl/worksheets/sheet10.xml" Id="Re960cab2faba40d2" /><Relationship Type="http://schemas.openxmlformats.org/officeDocument/2006/relationships/worksheet" Target="/xl/worksheets/sheet11.xml" Id="R9b4cb7899cf04d83" /><Relationship Type="http://schemas.openxmlformats.org/officeDocument/2006/relationships/worksheet" Target="/xl/worksheets/sheet12.xml" Id="R591840aa90c04f0f" /><Relationship Type="http://schemas.openxmlformats.org/officeDocument/2006/relationships/worksheet" Target="/xl/worksheets/sheet13.xml" Id="Rb273bd0292274b12" /><Relationship Type="http://schemas.openxmlformats.org/officeDocument/2006/relationships/worksheet" Target="/xl/worksheets/sheet14.xml" Id="Ref261cd2d20a4a09" /><Relationship Type="http://schemas.openxmlformats.org/officeDocument/2006/relationships/worksheet" Target="/xl/worksheets/sheet15.xml" Id="R7ed2261bda4a41bd" /><Relationship Type="http://schemas.openxmlformats.org/officeDocument/2006/relationships/worksheet" Target="/xl/worksheets/sheet16.xml" Id="Rade501d1ce61465c" /><Relationship Type="http://schemas.openxmlformats.org/officeDocument/2006/relationships/worksheet" Target="/xl/worksheets/sheet17.xml" Id="R9f2ee7059b3649c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M_Overview" displayName="BM_Overview" ref="A1:C18" headerRowCount="1" totalsRowCount="0" totalsRowShown="0">
  <x:autoFilter ref="A1:C18"/>
  <x:tableColumns count="3">
    <x:tableColumn id="1" name="topic"/>
    <x:tableColumn id="2" name="value"/>
    <x:tableColumn id="3" name="meaning"/>
  </x:tableColumns>
  <x:tableStyleInfo name="TableStyleMedium2" showFirstColumn="0" showLastColumn="0" showRowStripes="1" showColumnStripes="0"/>
</x:table>
</file>

<file path=xl/tables/table2.xml><?xml version="1.0" encoding="utf-8"?>
<x:table xmlns:x="http://schemas.openxmlformats.org/spreadsheetml/2006/main" id="2" name="BM_Room_Rules" displayName="BM_Room_Rules" ref="A1:Y29" headerRowCount="1" totalsRowCount="0" totalsRowShown="0">
  <x:autoFilter ref="A1:Y29"/>
  <x:tableColumns count="25">
    <x:tableColumn id="1" name="rule_id"/>
    <x:tableColumn id="2" name="category"/>
    <x:tableColumn id="3" name="entity"/>
    <x:tableColumn id="4" name="parameter"/>
    <x:tableColumn id="5" name="operator"/>
    <x:tableColumn id="6" name="value"/>
    <x:tableColumn id="7" name="unit"/>
    <x:tableColumn id="8" name="condition"/>
    <x:tableColumn id="9" name="rule_type"/>
    <x:tableColumn id="10" name="severity"/>
    <x:tableColumn id="11" name="source_id"/>
    <x:tableColumn id="12" name="source_document"/>
    <x:tableColumn id="13" name="source_clause"/>
    <x:tableColumn id="14" name="pdf_page"/>
    <x:tableColumn id="15" name="printed_page"/>
    <x:tableColumn id="16" name="jurisdiction"/>
    <x:tableColumn id="17" name="source_date"/>
    <x:tableColumn id="18" name="effective_date"/>
    <x:tableColumn id="19" name="verification_status"/>
    <x:tableColumn id="20" name="verified_by"/>
    <x:tableColumn id="21" name="checked_on"/>
    <x:tableColumn id="22" name="applicability_status"/>
    <x:tableColumn id="23" name="enable_in_production"/>
    <x:tableColumn id="24" name="condition_json"/>
    <x:tableColumn id="25" name="notes"/>
  </x:tableColumns>
  <x:tableStyleInfo name="TableStyleMedium2" showFirstColumn="0" showLastColumn="0" showRowStripes="1" showColumnStripes="0"/>
</x:table>
</file>

<file path=xl/tables/table3.xml><?xml version="1.0" encoding="utf-8"?>
<x:table xmlns:x="http://schemas.openxmlformats.org/spreadsheetml/2006/main" id="3" name="BM_Stairs" displayName="BM_Stairs" ref="A1:Y11" headerRowCount="1" totalsRowCount="0" totalsRowShown="0">
  <x:autoFilter ref="A1:Y11"/>
  <x:tableColumns count="25">
    <x:tableColumn id="1" name="rule_id"/>
    <x:tableColumn id="2" name="category"/>
    <x:tableColumn id="3" name="entity"/>
    <x:tableColumn id="4" name="parameter"/>
    <x:tableColumn id="5" name="operator"/>
    <x:tableColumn id="6" name="value"/>
    <x:tableColumn id="7" name="unit"/>
    <x:tableColumn id="8" name="condition"/>
    <x:tableColumn id="9" name="rule_type"/>
    <x:tableColumn id="10" name="severity"/>
    <x:tableColumn id="11" name="source_id"/>
    <x:tableColumn id="12" name="source_document"/>
    <x:tableColumn id="13" name="source_clause"/>
    <x:tableColumn id="14" name="pdf_page"/>
    <x:tableColumn id="15" name="printed_page"/>
    <x:tableColumn id="16" name="jurisdiction"/>
    <x:tableColumn id="17" name="source_date"/>
    <x:tableColumn id="18" name="effective_date"/>
    <x:tableColumn id="19" name="verification_status"/>
    <x:tableColumn id="20" name="verified_by"/>
    <x:tableColumn id="21" name="checked_on"/>
    <x:tableColumn id="22" name="applicability_status"/>
    <x:tableColumn id="23" name="enable_in_production"/>
    <x:tableColumn id="24" name="condition_json"/>
    <x:tableColumn id="25" name="notes"/>
  </x:tableColumns>
  <x:tableStyleInfo name="TableStyleMedium2" showFirstColumn="0" showLastColumn="0" showRowStripes="1" showColumnStripes="0"/>
</x:table>
</file>

<file path=xl/tables/table4.xml><?xml version="1.0" encoding="utf-8"?>
<x:table xmlns:x="http://schemas.openxmlformats.org/spreadsheetml/2006/main" id="4" name="BM_Openings" displayName="BM_Openings" ref="A1:Y15" headerRowCount="1" totalsRowCount="0" totalsRowShown="0">
  <x:autoFilter ref="A1:Y15"/>
  <x:tableColumns count="25">
    <x:tableColumn id="1" name="rule_id"/>
    <x:tableColumn id="2" name="category"/>
    <x:tableColumn id="3" name="entity"/>
    <x:tableColumn id="4" name="parameter"/>
    <x:tableColumn id="5" name="operator"/>
    <x:tableColumn id="6" name="value"/>
    <x:tableColumn id="7" name="unit"/>
    <x:tableColumn id="8" name="condition"/>
    <x:tableColumn id="9" name="rule_type"/>
    <x:tableColumn id="10" name="severity"/>
    <x:tableColumn id="11" name="source_id"/>
    <x:tableColumn id="12" name="source_document"/>
    <x:tableColumn id="13" name="source_clause"/>
    <x:tableColumn id="14" name="pdf_page"/>
    <x:tableColumn id="15" name="printed_page"/>
    <x:tableColumn id="16" name="jurisdiction"/>
    <x:tableColumn id="17" name="source_date"/>
    <x:tableColumn id="18" name="effective_date"/>
    <x:tableColumn id="19" name="verification_status"/>
    <x:tableColumn id="20" name="verified_by"/>
    <x:tableColumn id="21" name="checked_on"/>
    <x:tableColumn id="22" name="applicability_status"/>
    <x:tableColumn id="23" name="enable_in_production"/>
    <x:tableColumn id="24" name="condition_json"/>
    <x:tableColumn id="25" name="notes"/>
  </x:tableColumns>
  <x:tableStyleInfo name="TableStyleMedium2" showFirstColumn="0" showLastColumn="0" showRowStripes="1" showColumnStripes="0"/>
</x:table>
</file>

<file path=xl/tables/table5.xml><?xml version="1.0" encoding="utf-8"?>
<x:table xmlns:x="http://schemas.openxmlformats.org/spreadsheetml/2006/main" id="5" name="BM_Air_Wells" displayName="BM_Air_Wells" ref="A1:Y28" headerRowCount="1" totalsRowCount="0" totalsRowShown="0">
  <x:autoFilter ref="A1:Y28"/>
  <x:tableColumns count="25">
    <x:tableColumn id="1" name="rule_id"/>
    <x:tableColumn id="2" name="category"/>
    <x:tableColumn id="3" name="entity"/>
    <x:tableColumn id="4" name="parameter"/>
    <x:tableColumn id="5" name="operator"/>
    <x:tableColumn id="6" name="value"/>
    <x:tableColumn id="7" name="unit"/>
    <x:tableColumn id="8" name="condition"/>
    <x:tableColumn id="9" name="rule_type"/>
    <x:tableColumn id="10" name="severity"/>
    <x:tableColumn id="11" name="source_id"/>
    <x:tableColumn id="12" name="source_document"/>
    <x:tableColumn id="13" name="source_clause"/>
    <x:tableColumn id="14" name="pdf_page"/>
    <x:tableColumn id="15" name="printed_page"/>
    <x:tableColumn id="16" name="jurisdiction"/>
    <x:tableColumn id="17" name="source_date"/>
    <x:tableColumn id="18" name="effective_date"/>
    <x:tableColumn id="19" name="verification_status"/>
    <x:tableColumn id="20" name="verified_by"/>
    <x:tableColumn id="21" name="checked_on"/>
    <x:tableColumn id="22" name="applicability_status"/>
    <x:tableColumn id="23" name="enable_in_production"/>
    <x:tableColumn id="24" name="condition_json"/>
    <x:tableColumn id="25" name="notes"/>
  </x:tableColumns>
  <x:tableStyleInfo name="TableStyleMedium2" showFirstColumn="0" showLastColumn="0" showRowStripes="1" showColumnStripes="0"/>
</x:table>
</file>

<file path=xl/tables/table6.xml><?xml version="1.0" encoding="utf-8"?>
<x:table xmlns:x="http://schemas.openxmlformats.org/spreadsheetml/2006/main" id="6" name="BM_Planning" displayName="BM_Planning" ref="A1:Y53" headerRowCount="1" totalsRowCount="0" totalsRowShown="0">
  <x:autoFilter ref="A1:Y53"/>
  <x:tableColumns count="25">
    <x:tableColumn id="1" name="rule_id"/>
    <x:tableColumn id="2" name="category"/>
    <x:tableColumn id="3" name="entity"/>
    <x:tableColumn id="4" name="parameter"/>
    <x:tableColumn id="5" name="operator"/>
    <x:tableColumn id="6" name="value"/>
    <x:tableColumn id="7" name="unit"/>
    <x:tableColumn id="8" name="condition"/>
    <x:tableColumn id="9" name="rule_type"/>
    <x:tableColumn id="10" name="severity"/>
    <x:tableColumn id="11" name="source_id"/>
    <x:tableColumn id="12" name="source_document"/>
    <x:tableColumn id="13" name="source_clause"/>
    <x:tableColumn id="14" name="pdf_page"/>
    <x:tableColumn id="15" name="printed_page"/>
    <x:tableColumn id="16" name="jurisdiction"/>
    <x:tableColumn id="17" name="source_date"/>
    <x:tableColumn id="18" name="effective_date"/>
    <x:tableColumn id="19" name="verification_status"/>
    <x:tableColumn id="20" name="verified_by"/>
    <x:tableColumn id="21" name="checked_on"/>
    <x:tableColumn id="22" name="applicability_status"/>
    <x:tableColumn id="23" name="enable_in_production"/>
    <x:tableColumn id="24" name="condition_json"/>
    <x:tableColumn id="25" name="notes"/>
  </x:tableColumns>
  <x:tableStyleInfo name="TableStyleMedium2" showFirstColumn="0" showLastColumn="0" showRowStripes="1" showColumnStripes="0"/>
</x:table>
</file>

<file path=xl/tables/table7.xml><?xml version="1.0" encoding="utf-8"?>
<x:table xmlns:x="http://schemas.openxmlformats.org/spreadsheetml/2006/main" id="7" name="BM_Parking" displayName="BM_Parking" ref="A1:Y11" headerRowCount="1" totalsRowCount="0" totalsRowShown="0">
  <x:autoFilter ref="A1:Y11"/>
  <x:tableColumns count="25">
    <x:tableColumn id="1" name="rule_id"/>
    <x:tableColumn id="2" name="category"/>
    <x:tableColumn id="3" name="entity"/>
    <x:tableColumn id="4" name="parameter"/>
    <x:tableColumn id="5" name="operator"/>
    <x:tableColumn id="6" name="value"/>
    <x:tableColumn id="7" name="unit"/>
    <x:tableColumn id="8" name="condition"/>
    <x:tableColumn id="9" name="rule_type"/>
    <x:tableColumn id="10" name="severity"/>
    <x:tableColumn id="11" name="source_id"/>
    <x:tableColumn id="12" name="source_document"/>
    <x:tableColumn id="13" name="source_clause"/>
    <x:tableColumn id="14" name="pdf_page"/>
    <x:tableColumn id="15" name="printed_page"/>
    <x:tableColumn id="16" name="jurisdiction"/>
    <x:tableColumn id="17" name="source_date"/>
    <x:tableColumn id="18" name="effective_date"/>
    <x:tableColumn id="19" name="verification_status"/>
    <x:tableColumn id="20" name="verified_by"/>
    <x:tableColumn id="21" name="checked_on"/>
    <x:tableColumn id="22" name="applicability_status"/>
    <x:tableColumn id="23" name="enable_in_production"/>
    <x:tableColumn id="24" name="condition_json"/>
    <x:tableColumn id="25" name="notes"/>
  </x:tableColumns>
  <x:tableStyleInfo name="TableStyleMedium2" showFirstColumn="0" showLastColumn="0" showRowStripes="1" showColumnStripes="0"/>
</x:table>
</file>

<file path=xl/tables/table8.xml><?xml version="1.0" encoding="utf-8"?>
<x:table xmlns:x="http://schemas.openxmlformats.org/spreadsheetml/2006/main" id="8" name="BM_Local_Review" displayName="BM_Local_Review" ref="A1:Y8" headerRowCount="1" totalsRowCount="0" totalsRowShown="0">
  <x:autoFilter ref="A1:Y8"/>
  <x:tableColumns count="25">
    <x:tableColumn id="1" name="rule_id"/>
    <x:tableColumn id="2" name="category"/>
    <x:tableColumn id="3" name="entity"/>
    <x:tableColumn id="4" name="parameter"/>
    <x:tableColumn id="5" name="operator"/>
    <x:tableColumn id="6" name="value"/>
    <x:tableColumn id="7" name="unit"/>
    <x:tableColumn id="8" name="condition"/>
    <x:tableColumn id="9" name="rule_type"/>
    <x:tableColumn id="10" name="severity"/>
    <x:tableColumn id="11" name="source_id"/>
    <x:tableColumn id="12" name="source_document"/>
    <x:tableColumn id="13" name="source_clause"/>
    <x:tableColumn id="14" name="pdf_page"/>
    <x:tableColumn id="15" name="printed_page"/>
    <x:tableColumn id="16" name="jurisdiction"/>
    <x:tableColumn id="17" name="source_date"/>
    <x:tableColumn id="18" name="effective_date"/>
    <x:tableColumn id="19" name="verification_status"/>
    <x:tableColumn id="20" name="verified_by"/>
    <x:tableColumn id="21" name="checked_on"/>
    <x:tableColumn id="22" name="applicability_status"/>
    <x:tableColumn id="23" name="enable_in_production"/>
    <x:tableColumn id="24" name="condition_json"/>
    <x:tableColumn id="25" name="notes"/>
  </x:tableColumns>
  <x:tableStyleInfo name="TableStyleMedium2" showFirstColumn="0" showLastColumn="0" showRowStripes="1" showColumnStripes="0"/>
</x:table>
</file>

<file path=xl/tables/table9.xml><?xml version="1.0" encoding="utf-8"?>
<x:table xmlns:x="http://schemas.openxmlformats.org/spreadsheetml/2006/main" id="9" name="BM_Inputs" displayName="BM_Inputs" ref="A1:G21" headerRowCount="1" totalsRowCount="0" totalsRowShown="0">
  <x:autoFilter ref="A1:G21"/>
  <x:tableColumns count="7">
    <x:tableColumn id="1" name="field"/>
    <x:tableColumn id="2" name="data_type"/>
    <x:tableColumn id="3" name="unit"/>
    <x:tableColumn id="4" name="required"/>
    <x:tableColumn id="5" name="value"/>
    <x:tableColumn id="6" name="status"/>
    <x:tableColumn id="7" name="notes"/>
  </x:tableColumns>
  <x:tableStyleInfo name="TableStyleMedium2" showFirstColumn="0" showLastColumn="0" showRowStripes="1" showColumnStripes="0"/>
</x:table>
</file>

<file path=xl/tables/table10.xml><?xml version="1.0" encoding="utf-8"?>
<x:table xmlns:x="http://schemas.openxmlformats.org/spreadsheetml/2006/main" id="10" name="BM_Gaps" displayName="BM_Gaps" ref="A1:G17" headerRowCount="1" totalsRowCount="0" totalsRowShown="0">
  <x:autoFilter ref="A1:G17"/>
  <x:tableColumns count="7">
    <x:tableColumn id="1" name="gap_id"/>
    <x:tableColumn id="2" name="collection"/>
    <x:tableColumn id="3" name="missing_item"/>
    <x:tableColumn id="4" name="status"/>
    <x:tableColumn id="5" name="required_action"/>
    <x:tableColumn id="6" name="priority"/>
    <x:tableColumn id="7" name="enable_in_production"/>
  </x:tableColumns>
  <x:tableStyleInfo name="TableStyleMedium2" showFirstColumn="0" showLastColumn="0" showRowStripes="1" showColumnStripes="0"/>
</x:table>
</file>

<file path=xl/tables/table11.xml><?xml version="1.0" encoding="utf-8"?>
<x:table xmlns:x="http://schemas.openxmlformats.org/spreadsheetml/2006/main" id="11" name="BM_Missing_Schemas" displayName="BM_Missing_Schemas" ref="A1:C9" headerRowCount="1" totalsRowCount="0" totalsRowShown="0">
  <x:autoFilter ref="A1:C9"/>
  <x:tableColumns count="3">
    <x:tableColumn id="1" name="collection"/>
    <x:tableColumn id="2" name="required_columns"/>
    <x:tableColumn id="3" name="status"/>
  </x:tableColumns>
  <x:tableStyleInfo name="TableStyleMedium2" showFirstColumn="0" showLastColumn="0" showRowStripes="1" showColumnStripes="0"/>
</x:table>
</file>

<file path=xl/tables/table12.xml><?xml version="1.0" encoding="utf-8"?>
<x:table xmlns:x="http://schemas.openxmlformats.org/spreadsheetml/2006/main" id="12" name="BM_Test_Cases" displayName="BM_Test_Cases" ref="A1:K10" headerRowCount="1" totalsRowCount="0" totalsRowShown="0">
  <x:autoFilter ref="A1:K10"/>
  <x:tableColumns count="11">
    <x:tableColumn id="1" name="case_id"/>
    <x:tableColumn id="2" name="case"/>
    <x:tableColumn id="3" name="entity"/>
    <x:tableColumn id="4" name="area_m2"/>
    <x:tableColumn id="5" name="width_m"/>
    <x:tableColumn id="6" name="expected"/>
    <x:tableColumn id="7" name="reason"/>
    <x:tableColumn id="8" name="test_type"/>
    <x:tableColumn id="9" name="source"/>
    <x:tableColumn id="10" name="status"/>
    <x:tableColumn id="11" name="notes"/>
  </x:tableColumns>
  <x:tableStyleInfo name="TableStyleMedium2" showFirstColumn="0" showLastColumn="0" showRowStripes="1" showColumnStripes="0"/>
</x:table>
</file>

<file path=xl/tables/table13.xml><?xml version="1.0" encoding="utf-8"?>
<x:table xmlns:x="http://schemas.openxmlformats.org/spreadsheetml/2006/main" id="13" name="BM_Sources" displayName="BM_Sources" ref="A1:M116" headerRowCount="1" totalsRowCount="0" totalsRowShown="0">
  <x:autoFilter ref="A1:M116"/>
  <x:tableColumns count="13">
    <x:tableColumn id="1" name="source_id"/>
    <x:tableColumn id="2" name="filename"/>
    <x:tableColumn id="3" name="parent_archive"/>
    <x:tableColumn id="4" name="document_type"/>
    <x:tableColumn id="5" name="pdf_pages"/>
    <x:tableColumn id="6" name="text_characters"/>
    <x:tableColumn id="7" name="keyword_hit_pages"/>
    <x:tableColumn id="8" name="review_status"/>
    <x:tableColumn id="9" name="duplicate_of"/>
    <x:tableColumn id="10" name="sha256"/>
    <x:tableColumn id="11" name="title_excerpt"/>
    <x:tableColumn id="12" name="limitation"/>
    <x:tableColumn id="13" name="content_group"/>
  </x:tableColumns>
  <x:tableStyleInfo name="TableStyleMedium2" showFirstColumn="0" showLastColumn="0" showRowStripes="1" showColumnStripes="0"/>
</x:table>
</file>

<file path=xl/tables/table14.xml><?xml version="1.0" encoding="utf-8"?>
<x:table xmlns:x="http://schemas.openxmlformats.org/spreadsheetml/2006/main" id="14" name="BM_Candidate_Pages" displayName="BM_Candidate_Pages" ref="A1:I752" headerRowCount="1" totalsRowCount="0" totalsRowShown="0">
  <x:autoFilter ref="A1:I752"/>
  <x:tableColumns count="9">
    <x:tableColumn id="1" name="candidate_id"/>
    <x:tableColumn id="2" name="source_id"/>
    <x:tableColumn id="3" name="document"/>
    <x:tableColumn id="4" name="pdf_page"/>
    <x:tableColumn id="5" name="matched_terms"/>
    <x:tableColumn id="6" name="extracted_context"/>
    <x:tableColumn id="7" name="verification_status"/>
    <x:tableColumn id="8" name="use_for_solver"/>
    <x:tableColumn id="9" name="limitation"/>
  </x:tableColumns>
  <x:tableStyleInfo name="TableStyleMedium2" showFirstColumn="0" showLastColumn="0" showRowStripes="1" showColumnStripes="0"/>
</x:table>
</file>

<file path=xl/tables/table15.xml><?xml version="1.0" encoding="utf-8"?>
<x:table xmlns:x="http://schemas.openxmlformats.org/spreadsheetml/2006/main" id="15" name="BM_Data_Dictionary" displayName="BM_Data_Dictionary" ref="A1:E24" headerRowCount="1" totalsRowCount="0" totalsRowShown="0">
  <x:autoFilter ref="A1:E24"/>
  <x:tableColumns count="5">
    <x:tableColumn id="1" name="field"/>
    <x:tableColumn id="2" name="data_type"/>
    <x:tableColumn id="3" name="required"/>
    <x:tableColumn id="4" name="description"/>
    <x:tableColumn id="5" name="example"/>
  </x:tableColumns>
  <x:tableStyleInfo name="TableStyleMedium2" showFirstColumn="0" showLastColumn="0" showRowStripes="1" showColumnStripes="0"/>
</x:table>
</file>

<file path=xl/tables/table16.xml><?xml version="1.0" encoding="utf-8"?>
<x:table xmlns:x="http://schemas.openxmlformats.org/spreadsheetml/2006/main" id="16" name="BM_Test_Results" displayName="BM_Test_Results" ref="A1:D10" headerRowCount="1" totalsRowCount="0" totalsRowShown="0">
  <x:autoFilter ref="A1:D10"/>
  <x:tableColumns count="4">
    <x:tableColumn id="1" name="case_id"/>
    <x:tableColumn id="2" name="expected"/>
    <x:tableColumn id="3" name="actual"/>
    <x:tableColumn id="4" name="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1e73224052146d6" /></Relationships>
</file>

<file path=xl/worksheets/_rels/sheet2.xml.rels>&#65279;<?xml version="1.0" encoding="utf-8"?><Relationships xmlns="http://schemas.openxmlformats.org/package/2006/relationships"><Relationship Type="http://schemas.openxmlformats.org/officeDocument/2006/relationships/table" Target="/xl/tables/table2.xml" Id="R6c5af965ec6d4e03" /></Relationships>
</file>

<file path=xl/worksheets/_rels/sheet3.xml.rels>&#65279;<?xml version="1.0" encoding="utf-8"?><Relationships xmlns="http://schemas.openxmlformats.org/package/2006/relationships"><Relationship Type="http://schemas.openxmlformats.org/officeDocument/2006/relationships/table" Target="/xl/tables/table3.xml" Id="Rc9c541c127b84748" /></Relationships>
</file>

<file path=xl/worksheets/_rels/sheet4.xml.rels>&#65279;<?xml version="1.0" encoding="utf-8"?><Relationships xmlns="http://schemas.openxmlformats.org/package/2006/relationships"><Relationship Type="http://schemas.openxmlformats.org/officeDocument/2006/relationships/table" Target="/xl/tables/table4.xml" Id="R6099c4d02a4f4438" /></Relationships>
</file>

<file path=xl/worksheets/_rels/sheet5.xml.rels>&#65279;<?xml version="1.0" encoding="utf-8"?><Relationships xmlns="http://schemas.openxmlformats.org/package/2006/relationships"><Relationship Type="http://schemas.openxmlformats.org/officeDocument/2006/relationships/table" Target="/xl/tables/table5.xml" Id="R5dfda601282743e6" /></Relationships>
</file>

<file path=xl/worksheets/_rels/sheet6.xml.rels>&#65279;<?xml version="1.0" encoding="utf-8"?><Relationships xmlns="http://schemas.openxmlformats.org/package/2006/relationships"><Relationship Type="http://schemas.openxmlformats.org/officeDocument/2006/relationships/table" Target="/xl/tables/table6.xml" Id="Rc3106b794fca4b3e" /></Relationships>
</file>

<file path=xl/worksheets/_rels/sheet7.xml.rels>&#65279;<?xml version="1.0" encoding="utf-8"?><Relationships xmlns="http://schemas.openxmlformats.org/package/2006/relationships"><Relationship Type="http://schemas.openxmlformats.org/officeDocument/2006/relationships/table" Target="/xl/tables/table7.xml" Id="R095659e100ea4989" /></Relationships>
</file>

<file path=xl/worksheets/_rels/sheet8.xml.rels>&#65279;<?xml version="1.0" encoding="utf-8"?><Relationships xmlns="http://schemas.openxmlformats.org/package/2006/relationships"><Relationship Type="http://schemas.openxmlformats.org/officeDocument/2006/relationships/table" Target="/xl/tables/table8.xml" Id="R9a565af7bdf240f0" /></Relationships>
</file>

<file path=xl/worksheets/_rels/sheet9.xml.rels>&#65279;<?xml version="1.0" encoding="utf-8"?><Relationships xmlns="http://schemas.openxmlformats.org/package/2006/relationships"><Relationship Type="http://schemas.openxmlformats.org/officeDocument/2006/relationships/table" Target="/xl/tables/table9.xml" Id="R27cbbae0d631417c" /></Relationships>
</file>

<file path=xl/worksheets/_rels/sheet10.xml.rels>&#65279;<?xml version="1.0" encoding="utf-8"?><Relationships xmlns="http://schemas.openxmlformats.org/package/2006/relationships"><Relationship Type="http://schemas.openxmlformats.org/officeDocument/2006/relationships/table" Target="/xl/tables/table10.xml" Id="R22957343758a400d" /></Relationships>
</file>

<file path=xl/worksheets/_rels/sheet11.xml.rels>&#65279;<?xml version="1.0" encoding="utf-8"?><Relationships xmlns="http://schemas.openxmlformats.org/package/2006/relationships"><Relationship Type="http://schemas.openxmlformats.org/officeDocument/2006/relationships/table" Target="/xl/tables/table11.xml" Id="Reb7d403453024c92" /></Relationships>
</file>

<file path=xl/worksheets/_rels/sheet12.xml.rels>&#65279;<?xml version="1.0" encoding="utf-8"?><Relationships xmlns="http://schemas.openxmlformats.org/package/2006/relationships"><Relationship Type="http://schemas.openxmlformats.org/officeDocument/2006/relationships/table" Target="/xl/tables/table12.xml" Id="R0d5ea2b8dde44294" /></Relationships>
</file>

<file path=xl/worksheets/_rels/sheet13.xml.rels>&#65279;<?xml version="1.0" encoding="utf-8"?><Relationships xmlns="http://schemas.openxmlformats.org/package/2006/relationships"><Relationship Type="http://schemas.openxmlformats.org/officeDocument/2006/relationships/table" Target="/xl/tables/table13.xml" Id="Rfb35337f3ed44025" /></Relationships>
</file>

<file path=xl/worksheets/_rels/sheet14.xml.rels>&#65279;<?xml version="1.0" encoding="utf-8"?><Relationships xmlns="http://schemas.openxmlformats.org/package/2006/relationships"><Relationship Type="http://schemas.openxmlformats.org/officeDocument/2006/relationships/table" Target="/xl/tables/table14.xml" Id="R7a766ee29e1c4379" /></Relationships>
</file>

<file path=xl/worksheets/_rels/sheet15.xml.rels>&#65279;<?xml version="1.0" encoding="utf-8"?><Relationships xmlns="http://schemas.openxmlformats.org/package/2006/relationships"><Relationship Type="http://schemas.openxmlformats.org/officeDocument/2006/relationships/table" Target="/xl/tables/table15.xml" Id="R7b8cd27cbb864115" /></Relationships>
</file>

<file path=xl/worksheets/_rels/sheet16.xml.rels>&#65279;<?xml version="1.0" encoding="utf-8"?><Relationships xmlns="http://schemas.openxmlformats.org/package/2006/relationships"><Relationship Type="http://schemas.openxmlformats.org/officeDocument/2006/relationships/table" Target="/xl/tables/table16.xml" Id="Rc0140bb458f74d0c" /></Relationships>
</file>

<file path=xl/worksheets/sheet1.xml><?xml version="1.0" encoding="utf-8"?>
<x:worksheet xmlns:x="http://schemas.openxmlformats.org/spreadsheetml/2006/main">
  <x:sheetPr>
    <x:tabColor rgb="FF16324F"/>
  </x:sheetPr>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62" hidden="0" customWidth="1"/>
  </x:cols>
  <x:sheetData>
    <x:row r="1" ht="44" customHeight="1">
      <x:c r="A1" s="7" t="str">
        <x:v>topic</x:v>
      </x:c>
      <x:c r="B1" s="9" t="str">
        <x:v>value</x:v>
      </x:c>
      <x:c r="C1" s="7" t="str">
        <x:v>meaning</x:v>
      </x:c>
    </x:row>
    <x:row r="2" ht="42" customHeight="1">
      <x:c r="A2" s="8" t="str">
        <x:v>Dataset version</x:v>
      </x:c>
      <x:c r="B2" s="10" t="str">
        <x:v>BuildMind 1.0 - 2026-10-19</x:v>
      </x:c>
      <x:c r="C2" s="8" t="str">
        <x:v>Extraction from available uploaded PDFs and archive PDFs.</x:v>
      </x:c>
    </x:row>
    <x:row r="3" ht="70" customHeight="1">
      <x:c r="A3" s="11" t="str">
        <x:v>Scope</x:v>
      </x:c>
      <x:c r="B3" s="12" t="str">
        <x:v>Evidence-backed starter dataset with complete gap register</x:v>
      </x:c>
      <x:c r="C3" s="11" t="str">
        <x:v>Not all project data exists in supplied files. Missing data is explicit.</x:v>
      </x:c>
    </x:row>
    <x:row r="4" ht="42" customHeight="1">
      <x:c r="A4" s="8" t="str">
        <x:v>Structured rules</x:v>
      </x:c>
      <x:c r="B4" s="10" t="n">
        <x:v>148</x:v>
      </x:c>
      <x:c r="C4" s="8" t="str">
        <x:v>One requirement per record; values and units separate.</x:v>
      </x:c>
    </x:row>
    <x:row r="5" ht="42" customHeight="1">
      <x:c r="A5" s="11" t="str">
        <x:v>PDF source records</x:v>
      </x:c>
      <x:c r="B5" s="12" t="n">
        <x:v>115</x:v>
      </x:c>
      <x:c r="C5" s="11" t="str">
        <x:v>Includes archive members; byte-identical documents linked as duplicates.</x:v>
      </x:c>
    </x:row>
    <x:row r="6" ht="36" customHeight="1">
      <x:c r="A6" s="8" t="str">
        <x:v>Candidate pages</x:v>
      </x:c>
      <x:c r="B6" s="10" t="n">
        <x:v>751</x:v>
      </x:c>
      <x:c r="C6" s="8" t="str">
        <x:v>Keyword hits only; unreviewed and disabled.</x:v>
      </x:c>
    </x:row>
    <x:row r="7" ht="56" customHeight="1">
      <x:c r="A7" s="11" t="str">
        <x:v>Outstanding gaps</x:v>
      </x:c>
      <x:c r="B7" s="12" t="n">
        <x:v>16</x:v>
      </x:c>
      <x:c r="C7" s="11" t="str">
        <x:v>Climate, adjacency, components, furniture, rates, BOQ, templates and applicability need further work.</x:v>
      </x:c>
    </x:row>
    <x:row r="8" ht="42" customHeight="1">
      <x:c r="A8" s="8" t="str">
        <x:v>Production-enabled rules</x:v>
      </x:c>
      <x:c r="B8" s="10" t="n">
        <x:v>0</x:v>
      </x:c>
      <x:c r="C8" s="8" t="str">
        <x:v>All rules require current applicability, professional review and implementation before enforcement.</x:v>
      </x:c>
    </x:row>
    <x:row r="9" ht="42" customHeight="1">
      <x:c r="A9" s="11" t="str">
        <x:v>Primary source</x:v>
      </x:c>
      <x:c r="B9" s="12" t="str">
        <x:v>Gazette 2235/54, 2021-07-08</x:v>
      </x:c>
      <x:c r="C9" s="11" t="str">
        <x:v>Room dimensions Schedule 7, stairs Schedule 8, air wells Schedule 9.</x:v>
      </x:c>
    </x:row>
    <x:row r="10" ht="70" customHeight="1">
      <x:c r="A10" s="8" t="str">
        <x:v>AI import</x:v>
      </x:c>
      <x:c r="B10" s="10" t="str">
        <x:v>Read row 1 headers; parse native numeric/boolean cells</x:v>
      </x:c>
      <x:c r="C10" s="8" t="str">
        <x:v>No merged cells in tables. Use source_id and rule_id. Read condition_json and condition together.</x:v>
      </x:c>
    </x:row>
    <x:row r="11" ht="42" customHeight="1">
      <x:c r="A11" s="11" t="str">
        <x:v>Missing values</x:v>
      </x:c>
      <x:c r="B11" s="12" t="str">
        <x:v>Blank means unknown or not a scalar</x:v>
      </x:c>
      <x:c r="C11" s="11" t="str">
        <x:v>Never convert blanks to zero. Check operator, verification_status and notes.</x:v>
      </x:c>
    </x:row>
    <x:row r="12" ht="42" customHeight="1">
      <x:c r="A12" s="8" t="str">
        <x:v>Regulations versus preferences</x:v>
      </x:c>
      <x:c r="B12" s="10" t="str">
        <x:v>Keep rule_type and severity</x:v>
      </x:c>
      <x:c r="C12" s="8" t="str">
        <x:v>A hard rule is hard only in its confirmed scope. Preferences never override applicable constraints.</x:v>
      </x:c>
    </x:row>
    <x:row r="13" ht="56" customHeight="1">
      <x:c r="A13" s="11" t="str">
        <x:v>Candidate pages</x:v>
      </x:c>
      <x:c r="B13" s="12" t="str">
        <x:v>Do not feed candidate text directly into enforcement</x:v>
      </x:c>
      <x:c r="C13" s="11" t="str">
        <x:v>Open original page image, read context and source status, then promote as reviewed rule.</x:v>
      </x:c>
    </x:row>
    <x:row r="14" ht="56" customHeight="1">
      <x:c r="A14" s="8" t="str">
        <x:v>Text extraction limits</x:v>
      </x:c>
      <x:c r="B14" s="10" t="str">
        <x:v>English keyword scan, not full multilingual review</x:v>
      </x:c>
      <x:c r="C14" s="8" t="str">
        <x:v>Sinhala/Tamil legacy fonts, scanned pages, diagrams and tables may not be searchable. Invalid XML control characters removed from excerpts.</x:v>
      </x:c>
    </x:row>
    <x:row r="15" ht="56" customHeight="1">
      <x:c r="A15" s="11" t="str">
        <x:v>Coordinate contract</x:v>
      </x:c>
      <x:c r="B15" s="12" t="str">
        <x:v>Recommended: metres and one shared plan geometry</x:v>
      </x:c>
      <x:c r="C15" s="11" t="str">
        <x:v>Implementation convention, not regulation. Record wall faces/clear width consistently.</x:v>
      </x:c>
    </x:row>
    <x:row r="16" ht="42" customHeight="1">
      <x:c r="A16" s="8" t="str">
        <x:v>Legal dates</x:v>
      </x:c>
      <x:c r="B16" s="10" t="str">
        <x:v>source_date is not effective_date</x:v>
      </x:c>
      <x:c r="C16" s="8" t="str">
        <x:v>Effective dates remain blank until confirmed. No later-amendment check performed in this workbook.</x:v>
      </x:c>
    </x:row>
    <x:row r="17" ht="56" customHeight="1">
      <x:c r="A17" s="11" t="str">
        <x:v>Training</x:v>
      </x:c>
      <x:c r="B17" s="12" t="str">
        <x:v>Knowledge/rule data, not a trained model</x:v>
      </x:c>
      <x:c r="C17" s="11" t="str">
        <x:v>Import for retrieval or rule implementation. This workbook does not train an AI automatically.</x:v>
      </x:c>
    </x:row>
    <x:row r="18" ht="84" customHeight="1">
      <x:c r="A18" s="8" t="str">
        <x:v>Tamil instruction</x:v>
      </x:c>
      <x:c r="B18" s="10" t="str">
        <x:v>ஒவ்வொரு row-வும் ஒரு விதி. value, unit, condition, source சேர்த்து படிக்கவும்.</x:v>
      </x:c>
      <x:c r="C18" s="8" t="str">
        <x:v>pending / missing data-ஐ AI guess பண்ணக்கூடாது.</x:v>
      </x:c>
    </x:row>
  </x:sheetData>
  <x:pageMargins left="0.7" right="0.7" top="0.75" bottom="0.75" header="0.3" footer="0.3"/>
  <x:tableParts count="1">
    <x:tablePart xmlns:r="http://schemas.openxmlformats.org/officeDocument/2006/relationships" r:id="R31e73224052146d6"/>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32" hidden="0" customWidth="1"/>
    <x:col min="4" max="4" width="32" hidden="0" customWidth="1"/>
    <x:col min="5" max="5" width="22" hidden="0" customWidth="1"/>
    <x:col min="6" max="6" width="22" hidden="0" customWidth="1"/>
    <x:col min="7" max="7" width="22" hidden="0" customWidth="1"/>
    <x:col min="8" max="8" width="62" hidden="0" customWidth="1"/>
    <x:col min="9" max="9" width="22" hidden="0" customWidth="1"/>
    <x:col min="10" max="10" width="22" hidden="0" customWidth="1"/>
    <x:col min="11" max="11" width="22" hidden="0" customWidth="1"/>
    <x:col min="12" max="12" width="32" hidden="0" customWidth="1"/>
    <x:col min="13" max="13" width="32" hidden="0" customWidth="1"/>
    <x:col min="14" max="14" width="22" hidden="0" customWidth="1"/>
    <x:col min="15" max="15" width="22" hidden="0" customWidth="1"/>
    <x:col min="16" max="16" width="32" hidden="0" customWidth="1"/>
    <x:col min="17" max="17" width="22" hidden="0" customWidth="1"/>
    <x:col min="18" max="18" width="22" hidden="0" customWidth="1"/>
    <x:col min="19" max="19" width="32" hidden="0" customWidth="1"/>
    <x:col min="20" max="20" width="32" hidden="0" customWidth="1"/>
    <x:col min="21" max="21" width="22" hidden="0" customWidth="1"/>
    <x:col min="22" max="22" width="22" hidden="0" customWidth="1"/>
    <x:col min="23" max="23" width="22" hidden="0" customWidth="1"/>
    <x:col min="24" max="24" width="62" hidden="0" customWidth="1"/>
    <x:col min="25" max="25" width="62" hidden="0" customWidth="1"/>
  </x:cols>
  <x:sheetData>
    <x:row r="1" ht="44" customHeight="1">
      <x:c r="A1" s="7" t="str">
        <x:v>rule_id</x:v>
      </x:c>
      <x:c r="B1" s="7" t="str">
        <x:v>category</x:v>
      </x:c>
      <x:c r="C1" s="7" t="str">
        <x:v>entity</x:v>
      </x:c>
      <x:c r="D1" s="7" t="str">
        <x:v>parameter</x:v>
      </x:c>
      <x:c r="E1" s="7" t="str">
        <x:v>operator</x:v>
      </x:c>
      <x:c r="F1" s="9" t="str">
        <x:v>value</x:v>
      </x:c>
      <x:c r="G1" s="7" t="str">
        <x:v>unit</x:v>
      </x:c>
      <x:c r="H1" s="7" t="str">
        <x:v>condition</x:v>
      </x:c>
      <x:c r="I1" s="7" t="str">
        <x:v>rule_type</x:v>
      </x:c>
      <x:c r="J1" s="7" t="str">
        <x:v>severity</x:v>
      </x:c>
      <x:c r="K1" s="7" t="str">
        <x:v>source_id</x:v>
      </x:c>
      <x:c r="L1" s="7" t="str">
        <x:v>source_document</x:v>
      </x:c>
      <x:c r="M1" s="7" t="str">
        <x:v>source_clause</x:v>
      </x:c>
      <x:c r="N1" s="17" t="str">
        <x:v>pdf_page</x:v>
      </x:c>
      <x:c r="O1" s="7" t="str">
        <x:v>printed_page</x:v>
      </x:c>
      <x:c r="P1" s="7" t="str">
        <x:v>jurisdiction</x:v>
      </x:c>
      <x:c r="Q1" s="19" t="str">
        <x:v>source_date</x:v>
      </x:c>
      <x:c r="R1" s="19" t="str">
        <x:v>effective_date</x:v>
      </x:c>
      <x:c r="S1" s="7" t="str">
        <x:v>verification_status</x:v>
      </x:c>
      <x:c r="T1" s="7" t="str">
        <x:v>verified_by</x:v>
      </x:c>
      <x:c r="U1" s="19" t="str">
        <x:v>checked_on</x:v>
      </x:c>
      <x:c r="V1" s="7" t="str">
        <x:v>applicability_status</x:v>
      </x:c>
      <x:c r="W1" s="7" t="str">
        <x:v>enable_in_production</x:v>
      </x:c>
      <x:c r="X1" s="7" t="str">
        <x:v>condition_json</x:v>
      </x:c>
      <x:c r="Y1" s="7" t="str">
        <x:v>notes</x:v>
      </x:c>
    </x:row>
    <x:row r="2" ht="70" customHeight="1">
      <x:c r="A2" s="8" t="str">
        <x:v>BM_0001</x:v>
      </x:c>
      <x:c r="B2" s="8" t="str">
        <x:v>Room Rules</x:v>
      </x:c>
      <x:c r="C2" s="8" t="str">
        <x:v>single_room_dwelling</x:v>
      </x:c>
      <x:c r="D2" s="8" t="str">
        <x:v>floor_area</x:v>
      </x:c>
      <x:c r="E2" s="8" t="str">
        <x:v>&gt;=</x:v>
      </x:c>
      <x:c r="F2" s="10" t="n">
        <x:v>11</x:v>
      </x:c>
      <x:c r="G2" s="8" t="str">
        <x:v>m2</x:v>
      </x:c>
      <x:c r="H2" s="8" t="str">
        <x:v>dwelling_room_count == 1</x:v>
      </x:c>
      <x:c r="I2" s="8" t="str">
        <x:v>regulation</x:v>
      </x:c>
      <x:c r="J2" s="8" t="str">
        <x:v>hard</x:v>
      </x:c>
      <x:c r="K2" s="8" t="str">
        <x:v>SRC_0001</x:v>
      </x:c>
      <x:c r="L2" s="8" t="str">
        <x:v>2235-54_E.pdf</x:v>
      </x:c>
      <x:c r="M2" s="8" t="str">
        <x:v>Schedule 7; Regulations 65,75</x:v>
      </x:c>
      <x:c r="N2" s="18" t="n">
        <x:v>123</x:v>
      </x:c>
      <x:c r="O2" s="8" t="str">
        <x:v>123A</x:v>
      </x:c>
      <x:c r="P2" s="8" t="str">
        <x:v>Sri Lanka declared Urban Development Areas; site/local-plan applicability and later amendments pending</x:v>
      </x:c>
      <x:c r="Q2" s="20" t="n">
        <x:v>44385</x:v>
      </x:c>
      <x:c r="R2" s="20"/>
      <x:c r="S2" s="8" t="str">
        <x:v>source_checked</x:v>
      </x:c>
      <x:c r="T2" s="8" t="str">
        <x:v>AI extraction; professional review pending</x:v>
      </x:c>
      <x:c r="U2" s="20" t="n">
        <x:v>46314</x:v>
      </x:c>
      <x:c r="V2" s="8" t="str">
        <x:v>pending</x:v>
      </x:c>
      <x:c r="W2" s="21" t="b">
        <x:v>0</x:v>
      </x:c>
      <x:c r="X2" s="8" t="str">
        <x:v>{"scope_review_required":true,"entity":"single_room_dwelling","parameter":"floor_area","comparison":"&gt;=","threshold":11,"unit":"m2","condition_text":"dwelling_room_count == 1"}</x:v>
      </x:c>
      <x:c r="Y2" s="8" t="str">
        <x:v>Area and width are independent simultaneous requirements. First room is not automatically master bedroom. Measurement basis requires review.</x:v>
      </x:c>
    </x:row>
    <x:row r="3" ht="70" customHeight="1">
      <x:c r="A3" s="11" t="str">
        <x:v>BM_0002</x:v>
      </x:c>
      <x:c r="B3" s="11" t="str">
        <x:v>Room Rules</x:v>
      </x:c>
      <x:c r="C3" s="11" t="str">
        <x:v>single_room_dwelling</x:v>
      </x:c>
      <x:c r="D3" s="11" t="str">
        <x:v>width</x:v>
      </x:c>
      <x:c r="E3" s="11" t="str">
        <x:v>&gt;=</x:v>
      </x:c>
      <x:c r="F3" s="12" t="n">
        <x:v>3</x:v>
      </x:c>
      <x:c r="G3" s="11" t="str">
        <x:v>m</x:v>
      </x:c>
      <x:c r="H3" s="11" t="str">
        <x:v>dwelling_room_count == 1</x:v>
      </x:c>
      <x:c r="I3" s="11" t="str">
        <x:v>regulation</x:v>
      </x:c>
      <x:c r="J3" s="11" t="str">
        <x:v>hard</x:v>
      </x:c>
      <x:c r="K3" s="11" t="str">
        <x:v>SRC_0001</x:v>
      </x:c>
      <x:c r="L3" s="11" t="str">
        <x:v>2235-54_E.pdf</x:v>
      </x:c>
      <x:c r="M3" s="11" t="str">
        <x:v>Schedule 7; Regulations 65,75</x:v>
      </x:c>
      <x:c r="N3" s="22" t="n">
        <x:v>123</x:v>
      </x:c>
      <x:c r="O3" s="11" t="str">
        <x:v>123A</x:v>
      </x:c>
      <x:c r="P3" s="11" t="str">
        <x:v>Sri Lanka declared Urban Development Areas; site/local-plan applicability and later amendments pending</x:v>
      </x:c>
      <x:c r="Q3" s="23" t="n">
        <x:v>44385</x:v>
      </x:c>
      <x:c r="R3" s="23"/>
      <x:c r="S3" s="11" t="str">
        <x:v>source_checked</x:v>
      </x:c>
      <x:c r="T3" s="11" t="str">
        <x:v>AI extraction; professional review pending</x:v>
      </x:c>
      <x:c r="U3" s="23" t="n">
        <x:v>46314</x:v>
      </x:c>
      <x:c r="V3" s="11" t="str">
        <x:v>pending</x:v>
      </x:c>
      <x:c r="W3" s="24" t="b">
        <x:v>0</x:v>
      </x:c>
      <x:c r="X3" s="11" t="str">
        <x:v>{"scope_review_required":true,"entity":"single_room_dwelling","parameter":"width","comparison":"&gt;=","threshold":3,"unit":"m","condition_text":"dwelling_room_count == 1"}</x:v>
      </x:c>
      <x:c r="Y3" s="11" t="str">
        <x:v>Area and width are independent simultaneous requirements. First room is not automatically master bedroom. Measurement basis requires review.</x:v>
      </x:c>
    </x:row>
    <x:row r="4" ht="84" customHeight="1">
      <x:c r="A4" s="8" t="str">
        <x:v>BM_0003</x:v>
      </x:c>
      <x:c r="B4" s="8" t="str">
        <x:v>Room Rules</x:v>
      </x:c>
      <x:c r="C4" s="8" t="str">
        <x:v>first_room_multiroom_dwelling</x:v>
      </x:c>
      <x:c r="D4" s="8" t="str">
        <x:v>floor_area</x:v>
      </x:c>
      <x:c r="E4" s="8" t="str">
        <x:v>&gt;=</x:v>
      </x:c>
      <x:c r="F4" s="10" t="n">
        <x:v>9.5</x:v>
      </x:c>
      <x:c r="G4" s="8" t="str">
        <x:v>m2</x:v>
      </x:c>
      <x:c r="H4" s="8" t="str">
        <x:v>dwelling_room_count &gt; 1; first room designation requires review</x:v>
      </x:c>
      <x:c r="I4" s="8" t="str">
        <x:v>regulation</x:v>
      </x:c>
      <x:c r="J4" s="8" t="str">
        <x:v>hard</x:v>
      </x:c>
      <x:c r="K4" s="8" t="str">
        <x:v>SRC_0001</x:v>
      </x:c>
      <x:c r="L4" s="8" t="str">
        <x:v>2235-54_E.pdf</x:v>
      </x:c>
      <x:c r="M4" s="8" t="str">
        <x:v>Schedule 7; Regulations 65,75</x:v>
      </x:c>
      <x:c r="N4" s="18" t="n">
        <x:v>123</x:v>
      </x:c>
      <x:c r="O4" s="8" t="str">
        <x:v>123A</x:v>
      </x:c>
      <x:c r="P4" s="8" t="str">
        <x:v>Sri Lanka declared Urban Development Areas; site/local-plan applicability and later amendments pending</x:v>
      </x:c>
      <x:c r="Q4" s="20" t="n">
        <x:v>44385</x:v>
      </x:c>
      <x:c r="R4" s="20"/>
      <x:c r="S4" s="8" t="str">
        <x:v>source_checked</x:v>
      </x:c>
      <x:c r="T4" s="8" t="str">
        <x:v>AI extraction; professional review pending</x:v>
      </x:c>
      <x:c r="U4" s="20" t="n">
        <x:v>46314</x:v>
      </x:c>
      <x:c r="V4" s="8" t="str">
        <x:v>pending</x:v>
      </x:c>
      <x:c r="W4" s="21" t="b">
        <x:v>0</x:v>
      </x:c>
      <x:c r="X4" s="8" t="str">
        <x:v>{"scope_review_required":true,"entity":"first_room_multiroom_dwelling","parameter":"floor_area","comparison":"&gt;=","threshold":9.5,"unit":"m2","condition_text":"dwelling_room_count &gt; 1; first room designation requires review"}</x:v>
      </x:c>
      <x:c r="Y4" s="8" t="str">
        <x:v>Area and width are independent simultaneous requirements. First room is not automatically master bedroom. Measurement basis requires review.</x:v>
      </x:c>
    </x:row>
    <x:row r="5" ht="84" customHeight="1">
      <x:c r="A5" s="11" t="str">
        <x:v>BM_0004</x:v>
      </x:c>
      <x:c r="B5" s="11" t="str">
        <x:v>Room Rules</x:v>
      </x:c>
      <x:c r="C5" s="11" t="str">
        <x:v>first_room_multiroom_dwelling</x:v>
      </x:c>
      <x:c r="D5" s="11" t="str">
        <x:v>width</x:v>
      </x:c>
      <x:c r="E5" s="11" t="str">
        <x:v>&gt;=</x:v>
      </x:c>
      <x:c r="F5" s="12" t="n">
        <x:v>2.5</x:v>
      </x:c>
      <x:c r="G5" s="11" t="str">
        <x:v>m</x:v>
      </x:c>
      <x:c r="H5" s="11" t="str">
        <x:v>dwelling_room_count &gt; 1; first room designation requires review</x:v>
      </x:c>
      <x:c r="I5" s="11" t="str">
        <x:v>regulation</x:v>
      </x:c>
      <x:c r="J5" s="11" t="str">
        <x:v>hard</x:v>
      </x:c>
      <x:c r="K5" s="11" t="str">
        <x:v>SRC_0001</x:v>
      </x:c>
      <x:c r="L5" s="11" t="str">
        <x:v>2235-54_E.pdf</x:v>
      </x:c>
      <x:c r="M5" s="11" t="str">
        <x:v>Schedule 7; Regulations 65,75</x:v>
      </x:c>
      <x:c r="N5" s="22" t="n">
        <x:v>123</x:v>
      </x:c>
      <x:c r="O5" s="11" t="str">
        <x:v>123A</x:v>
      </x:c>
      <x:c r="P5" s="11" t="str">
        <x:v>Sri Lanka declared Urban Development Areas; site/local-plan applicability and later amendments pending</x:v>
      </x:c>
      <x:c r="Q5" s="23" t="n">
        <x:v>44385</x:v>
      </x:c>
      <x:c r="R5" s="23"/>
      <x:c r="S5" s="11" t="str">
        <x:v>source_checked</x:v>
      </x:c>
      <x:c r="T5" s="11" t="str">
        <x:v>AI extraction; professional review pending</x:v>
      </x:c>
      <x:c r="U5" s="23" t="n">
        <x:v>46314</x:v>
      </x:c>
      <x:c r="V5" s="11" t="str">
        <x:v>pending</x:v>
      </x:c>
      <x:c r="W5" s="24" t="b">
        <x:v>0</x:v>
      </x:c>
      <x:c r="X5" s="11" t="str">
        <x:v>{"scope_review_required":true,"entity":"first_room_multiroom_dwelling","parameter":"width","comparison":"&gt;=","threshold":2.5,"unit":"m","condition_text":"dwelling_room_count &gt; 1; first room designation requires review"}</x:v>
      </x:c>
      <x:c r="Y5" s="11" t="str">
        <x:v>Area and width are independent simultaneous requirements. First room is not automatically master bedroom. Measurement basis requires review.</x:v>
      </x:c>
    </x:row>
    <x:row r="6" ht="84" customHeight="1">
      <x:c r="A6" s="8" t="str">
        <x:v>BM_0005</x:v>
      </x:c>
      <x:c r="B6" s="8" t="str">
        <x:v>Room Rules</x:v>
      </x:c>
      <x:c r="C6" s="8" t="str">
        <x:v>additional_room_multiroom_dwelling</x:v>
      </x:c>
      <x:c r="D6" s="8" t="str">
        <x:v>floor_area</x:v>
      </x:c>
      <x:c r="E6" s="8" t="str">
        <x:v>&gt;=</x:v>
      </x:c>
      <x:c r="F6" s="10" t="n">
        <x:v>8.5</x:v>
      </x:c>
      <x:c r="G6" s="8" t="str">
        <x:v>m2</x:v>
      </x:c>
      <x:c r="H6" s="8" t="str">
        <x:v>dwelling_room_count &gt; 1; additional room</x:v>
      </x:c>
      <x:c r="I6" s="8" t="str">
        <x:v>regulation</x:v>
      </x:c>
      <x:c r="J6" s="8" t="str">
        <x:v>hard</x:v>
      </x:c>
      <x:c r="K6" s="8" t="str">
        <x:v>SRC_0001</x:v>
      </x:c>
      <x:c r="L6" s="8" t="str">
        <x:v>2235-54_E.pdf</x:v>
      </x:c>
      <x:c r="M6" s="8" t="str">
        <x:v>Schedule 7; Regulations 65,75</x:v>
      </x:c>
      <x:c r="N6" s="18" t="n">
        <x:v>123</x:v>
      </x:c>
      <x:c r="O6" s="8" t="str">
        <x:v>123A</x:v>
      </x:c>
      <x:c r="P6" s="8" t="str">
        <x:v>Sri Lanka declared Urban Development Areas; site/local-plan applicability and later amendments pending</x:v>
      </x:c>
      <x:c r="Q6" s="20" t="n">
        <x:v>44385</x:v>
      </x:c>
      <x:c r="R6" s="20"/>
      <x:c r="S6" s="8" t="str">
        <x:v>source_checked</x:v>
      </x:c>
      <x:c r="T6" s="8" t="str">
        <x:v>AI extraction; professional review pending</x:v>
      </x:c>
      <x:c r="U6" s="20" t="n">
        <x:v>46314</x:v>
      </x:c>
      <x:c r="V6" s="8" t="str">
        <x:v>pending</x:v>
      </x:c>
      <x:c r="W6" s="21" t="b">
        <x:v>0</x:v>
      </x:c>
      <x:c r="X6" s="8" t="str">
        <x:v>{"scope_review_required":true,"entity":"additional_room_multiroom_dwelling","parameter":"floor_area","comparison":"&gt;=","threshold":8.5,"unit":"m2","condition_text":"dwelling_room_count &gt; 1; additional room"}</x:v>
      </x:c>
      <x:c r="Y6" s="8" t="str">
        <x:v>Area and width are independent simultaneous requirements. First room is not automatically master bedroom. Measurement basis requires review.</x:v>
      </x:c>
    </x:row>
    <x:row r="7" ht="84" customHeight="1">
      <x:c r="A7" s="11" t="str">
        <x:v>BM_0006</x:v>
      </x:c>
      <x:c r="B7" s="11" t="str">
        <x:v>Room Rules</x:v>
      </x:c>
      <x:c r="C7" s="11" t="str">
        <x:v>additional_room_multiroom_dwelling</x:v>
      </x:c>
      <x:c r="D7" s="11" t="str">
        <x:v>width</x:v>
      </x:c>
      <x:c r="E7" s="11" t="str">
        <x:v>&gt;=</x:v>
      </x:c>
      <x:c r="F7" s="12" t="n">
        <x:v>2.5</x:v>
      </x:c>
      <x:c r="G7" s="11" t="str">
        <x:v>m</x:v>
      </x:c>
      <x:c r="H7" s="11" t="str">
        <x:v>dwelling_room_count &gt; 1; additional room</x:v>
      </x:c>
      <x:c r="I7" s="11" t="str">
        <x:v>regulation</x:v>
      </x:c>
      <x:c r="J7" s="11" t="str">
        <x:v>hard</x:v>
      </x:c>
      <x:c r="K7" s="11" t="str">
        <x:v>SRC_0001</x:v>
      </x:c>
      <x:c r="L7" s="11" t="str">
        <x:v>2235-54_E.pdf</x:v>
      </x:c>
      <x:c r="M7" s="11" t="str">
        <x:v>Schedule 7; Regulations 65,75</x:v>
      </x:c>
      <x:c r="N7" s="22" t="n">
        <x:v>123</x:v>
      </x:c>
      <x:c r="O7" s="11" t="str">
        <x:v>123A</x:v>
      </x:c>
      <x:c r="P7" s="11" t="str">
        <x:v>Sri Lanka declared Urban Development Areas; site/local-plan applicability and later amendments pending</x:v>
      </x:c>
      <x:c r="Q7" s="23" t="n">
        <x:v>44385</x:v>
      </x:c>
      <x:c r="R7" s="23"/>
      <x:c r="S7" s="11" t="str">
        <x:v>source_checked</x:v>
      </x:c>
      <x:c r="T7" s="11" t="str">
        <x:v>AI extraction; professional review pending</x:v>
      </x:c>
      <x:c r="U7" s="23" t="n">
        <x:v>46314</x:v>
      </x:c>
      <x:c r="V7" s="11" t="str">
        <x:v>pending</x:v>
      </x:c>
      <x:c r="W7" s="24" t="b">
        <x:v>0</x:v>
      </x:c>
      <x:c r="X7" s="11" t="str">
        <x:v>{"scope_review_required":true,"entity":"additional_room_multiroom_dwelling","parameter":"width","comparison":"&gt;=","threshold":2.5,"unit":"m","condition_text":"dwelling_room_count &gt; 1; additional room"}</x:v>
      </x:c>
      <x:c r="Y7" s="11" t="str">
        <x:v>Area and width are independent simultaneous requirements. First room is not automatically master bedroom. Measurement basis requires review.</x:v>
      </x:c>
    </x:row>
    <x:row r="8" ht="70" customHeight="1">
      <x:c r="A8" s="8" t="str">
        <x:v>BM_0007</x:v>
      </x:c>
      <x:c r="B8" s="8" t="str">
        <x:v>Room Rules</x:v>
      </x:c>
      <x:c r="C8" s="8" t="str">
        <x:v>kitchen</x:v>
      </x:c>
      <x:c r="D8" s="8" t="str">
        <x:v>floor_area</x:v>
      </x:c>
      <x:c r="E8" s="8" t="str">
        <x:v>&gt;=</x:v>
      </x:c>
      <x:c r="F8" s="10" t="n">
        <x:v>5.5</x:v>
      </x:c>
      <x:c r="G8" s="8" t="str">
        <x:v>m2</x:v>
      </x:c>
      <x:c r="H8" s="8" t="str">
        <x:v>kitchen</x:v>
      </x:c>
      <x:c r="I8" s="8" t="str">
        <x:v>regulation</x:v>
      </x:c>
      <x:c r="J8" s="8" t="str">
        <x:v>hard</x:v>
      </x:c>
      <x:c r="K8" s="8" t="str">
        <x:v>SRC_0001</x:v>
      </x:c>
      <x:c r="L8" s="8" t="str">
        <x:v>2235-54_E.pdf</x:v>
      </x:c>
      <x:c r="M8" s="8" t="str">
        <x:v>Schedule 7; Regulations 65,75</x:v>
      </x:c>
      <x:c r="N8" s="18" t="n">
        <x:v>123</x:v>
      </x:c>
      <x:c r="O8" s="8" t="str">
        <x:v>123A</x:v>
      </x:c>
      <x:c r="P8" s="8" t="str">
        <x:v>Sri Lanka declared Urban Development Areas; site/local-plan applicability and later amendments pending</x:v>
      </x:c>
      <x:c r="Q8" s="20" t="n">
        <x:v>44385</x:v>
      </x:c>
      <x:c r="R8" s="20"/>
      <x:c r="S8" s="8" t="str">
        <x:v>source_checked</x:v>
      </x:c>
      <x:c r="T8" s="8" t="str">
        <x:v>AI extraction; professional review pending</x:v>
      </x:c>
      <x:c r="U8" s="20" t="n">
        <x:v>46314</x:v>
      </x:c>
      <x:c r="V8" s="8" t="str">
        <x:v>pending</x:v>
      </x:c>
      <x:c r="W8" s="21" t="b">
        <x:v>0</x:v>
      </x:c>
      <x:c r="X8" s="8" t="str">
        <x:v>{"scope_review_required":true,"entity":"kitchen","parameter":"floor_area","comparison":"&gt;=","threshold":5.5,"unit":"m2","condition_text":"kitchen"}</x:v>
      </x:c>
      <x:c r="Y8" s="8" t="str">
        <x:v>Area and width are independent simultaneous requirements. First room is not automatically master bedroom. Measurement basis requires review.</x:v>
      </x:c>
    </x:row>
    <x:row r="9" ht="70" customHeight="1">
      <x:c r="A9" s="11" t="str">
        <x:v>BM_0008</x:v>
      </x:c>
      <x:c r="B9" s="11" t="str">
        <x:v>Room Rules</x:v>
      </x:c>
      <x:c r="C9" s="11" t="str">
        <x:v>kitchen</x:v>
      </x:c>
      <x:c r="D9" s="11" t="str">
        <x:v>width</x:v>
      </x:c>
      <x:c r="E9" s="11" t="str">
        <x:v>&gt;=</x:v>
      </x:c>
      <x:c r="F9" s="12" t="n">
        <x:v>1.8</x:v>
      </x:c>
      <x:c r="G9" s="11" t="str">
        <x:v>m</x:v>
      </x:c>
      <x:c r="H9" s="11" t="str">
        <x:v>kitchen</x:v>
      </x:c>
      <x:c r="I9" s="11" t="str">
        <x:v>regulation</x:v>
      </x:c>
      <x:c r="J9" s="11" t="str">
        <x:v>hard</x:v>
      </x:c>
      <x:c r="K9" s="11" t="str">
        <x:v>SRC_0001</x:v>
      </x:c>
      <x:c r="L9" s="11" t="str">
        <x:v>2235-54_E.pdf</x:v>
      </x:c>
      <x:c r="M9" s="11" t="str">
        <x:v>Schedule 7; Regulations 65,75</x:v>
      </x:c>
      <x:c r="N9" s="22" t="n">
        <x:v>123</x:v>
      </x:c>
      <x:c r="O9" s="11" t="str">
        <x:v>123A</x:v>
      </x:c>
      <x:c r="P9" s="11" t="str">
        <x:v>Sri Lanka declared Urban Development Areas; site/local-plan applicability and later amendments pending</x:v>
      </x:c>
      <x:c r="Q9" s="23" t="n">
        <x:v>44385</x:v>
      </x:c>
      <x:c r="R9" s="23"/>
      <x:c r="S9" s="11" t="str">
        <x:v>source_checked</x:v>
      </x:c>
      <x:c r="T9" s="11" t="str">
        <x:v>AI extraction; professional review pending</x:v>
      </x:c>
      <x:c r="U9" s="23" t="n">
        <x:v>46314</x:v>
      </x:c>
      <x:c r="V9" s="11" t="str">
        <x:v>pending</x:v>
      </x:c>
      <x:c r="W9" s="24" t="b">
        <x:v>0</x:v>
      </x:c>
      <x:c r="X9" s="11" t="str">
        <x:v>{"scope_review_required":true,"entity":"kitchen","parameter":"width","comparison":"&gt;=","threshold":1.8,"unit":"m","condition_text":"kitchen"}</x:v>
      </x:c>
      <x:c r="Y9" s="11" t="str">
        <x:v>Area and width are independent simultaneous requirements. First room is not automatically master bedroom. Measurement basis requires review.</x:v>
      </x:c>
    </x:row>
    <x:row r="10" ht="70" customHeight="1">
      <x:c r="A10" s="8" t="str">
        <x:v>BM_0009</x:v>
      </x:c>
      <x:c r="B10" s="8" t="str">
        <x:v>Room Rules</x:v>
      </x:c>
      <x:c r="C10" s="8" t="str">
        <x:v>bathroom</x:v>
      </x:c>
      <x:c r="D10" s="8" t="str">
        <x:v>floor_area</x:v>
      </x:c>
      <x:c r="E10" s="8" t="str">
        <x:v>&gt;=</x:v>
      </x:c>
      <x:c r="F10" s="10" t="n">
        <x:v>1.7</x:v>
      </x:c>
      <x:c r="G10" s="8" t="str">
        <x:v>m2</x:v>
      </x:c>
      <x:c r="H10" s="8" t="str">
        <x:v>bathroom without combined WC</x:v>
      </x:c>
      <x:c r="I10" s="8" t="str">
        <x:v>regulation</x:v>
      </x:c>
      <x:c r="J10" s="8" t="str">
        <x:v>hard</x:v>
      </x:c>
      <x:c r="K10" s="8" t="str">
        <x:v>SRC_0001</x:v>
      </x:c>
      <x:c r="L10" s="8" t="str">
        <x:v>2235-54_E.pdf</x:v>
      </x:c>
      <x:c r="M10" s="8" t="str">
        <x:v>Schedule 7; Regulations 65,75</x:v>
      </x:c>
      <x:c r="N10" s="18" t="n">
        <x:v>123</x:v>
      </x:c>
      <x:c r="O10" s="8" t="str">
        <x:v>123A</x:v>
      </x:c>
      <x:c r="P10" s="8" t="str">
        <x:v>Sri Lanka declared Urban Development Areas; site/local-plan applicability and later amendments pending</x:v>
      </x:c>
      <x:c r="Q10" s="20" t="n">
        <x:v>44385</x:v>
      </x:c>
      <x:c r="R10" s="20"/>
      <x:c r="S10" s="8" t="str">
        <x:v>source_checked</x:v>
      </x:c>
      <x:c r="T10" s="8" t="str">
        <x:v>AI extraction; professional review pending</x:v>
      </x:c>
      <x:c r="U10" s="20" t="n">
        <x:v>46314</x:v>
      </x:c>
      <x:c r="V10" s="8" t="str">
        <x:v>pending</x:v>
      </x:c>
      <x:c r="W10" s="21" t="b">
        <x:v>0</x:v>
      </x:c>
      <x:c r="X10" s="8" t="str">
        <x:v>{"scope_review_required":true,"entity":"bathroom","parameter":"floor_area","comparison":"&gt;=","threshold":1.7,"unit":"m2","condition_text":"bathroom without combined WC"}</x:v>
      </x:c>
      <x:c r="Y10" s="8" t="str">
        <x:v>Area and width are independent simultaneous requirements. First room is not automatically master bedroom. Measurement basis requires review.</x:v>
      </x:c>
    </x:row>
    <x:row r="11" ht="70" customHeight="1">
      <x:c r="A11" s="11" t="str">
        <x:v>BM_0010</x:v>
      </x:c>
      <x:c r="B11" s="11" t="str">
        <x:v>Room Rules</x:v>
      </x:c>
      <x:c r="C11" s="11" t="str">
        <x:v>bathroom</x:v>
      </x:c>
      <x:c r="D11" s="11" t="str">
        <x:v>width</x:v>
      </x:c>
      <x:c r="E11" s="11" t="str">
        <x:v>&gt;=</x:v>
      </x:c>
      <x:c r="F11" s="12" t="n">
        <x:v>1</x:v>
      </x:c>
      <x:c r="G11" s="11" t="str">
        <x:v>m</x:v>
      </x:c>
      <x:c r="H11" s="11" t="str">
        <x:v>bathroom without combined WC</x:v>
      </x:c>
      <x:c r="I11" s="11" t="str">
        <x:v>regulation</x:v>
      </x:c>
      <x:c r="J11" s="11" t="str">
        <x:v>hard</x:v>
      </x:c>
      <x:c r="K11" s="11" t="str">
        <x:v>SRC_0001</x:v>
      </x:c>
      <x:c r="L11" s="11" t="str">
        <x:v>2235-54_E.pdf</x:v>
      </x:c>
      <x:c r="M11" s="11" t="str">
        <x:v>Schedule 7; Regulations 65,75</x:v>
      </x:c>
      <x:c r="N11" s="22" t="n">
        <x:v>123</x:v>
      </x:c>
      <x:c r="O11" s="11" t="str">
        <x:v>123A</x:v>
      </x:c>
      <x:c r="P11" s="11" t="str">
        <x:v>Sri Lanka declared Urban Development Areas; site/local-plan applicability and later amendments pending</x:v>
      </x:c>
      <x:c r="Q11" s="23" t="n">
        <x:v>44385</x:v>
      </x:c>
      <x:c r="R11" s="23"/>
      <x:c r="S11" s="11" t="str">
        <x:v>source_checked</x:v>
      </x:c>
      <x:c r="T11" s="11" t="str">
        <x:v>AI extraction; professional review pending</x:v>
      </x:c>
      <x:c r="U11" s="23" t="n">
        <x:v>46314</x:v>
      </x:c>
      <x:c r="V11" s="11" t="str">
        <x:v>pending</x:v>
      </x:c>
      <x:c r="W11" s="24" t="b">
        <x:v>0</x:v>
      </x:c>
      <x:c r="X11" s="11" t="str">
        <x:v>{"scope_review_required":true,"entity":"bathroom","parameter":"width","comparison":"&gt;=","threshold":1,"unit":"m","condition_text":"bathroom without combined WC"}</x:v>
      </x:c>
      <x:c r="Y11" s="11" t="str">
        <x:v>Area and width are independent simultaneous requirements. First room is not automatically master bedroom. Measurement basis requires review.</x:v>
      </x:c>
    </x:row>
    <x:row r="12" ht="70" customHeight="1">
      <x:c r="A12" s="8" t="str">
        <x:v>BM_0011</x:v>
      </x:c>
      <x:c r="B12" s="8" t="str">
        <x:v>Room Rules</x:v>
      </x:c>
      <x:c r="C12" s="8" t="str">
        <x:v>toilet</x:v>
      </x:c>
      <x:c r="D12" s="8" t="str">
        <x:v>floor_area</x:v>
      </x:c>
      <x:c r="E12" s="8" t="str">
        <x:v>&gt;=</x:v>
      </x:c>
      <x:c r="F12" s="10" t="n">
        <x:v>1.7</x:v>
      </x:c>
      <x:c r="G12" s="8" t="str">
        <x:v>m2</x:v>
      </x:c>
      <x:c r="H12" s="8" t="str">
        <x:v>toilet</x:v>
      </x:c>
      <x:c r="I12" s="8" t="str">
        <x:v>regulation</x:v>
      </x:c>
      <x:c r="J12" s="8" t="str">
        <x:v>hard</x:v>
      </x:c>
      <x:c r="K12" s="8" t="str">
        <x:v>SRC_0001</x:v>
      </x:c>
      <x:c r="L12" s="8" t="str">
        <x:v>2235-54_E.pdf</x:v>
      </x:c>
      <x:c r="M12" s="8" t="str">
        <x:v>Schedule 7; Regulations 65,75</x:v>
      </x:c>
      <x:c r="N12" s="18" t="n">
        <x:v>123</x:v>
      </x:c>
      <x:c r="O12" s="8" t="str">
        <x:v>123A</x:v>
      </x:c>
      <x:c r="P12" s="8" t="str">
        <x:v>Sri Lanka declared Urban Development Areas; site/local-plan applicability and later amendments pending</x:v>
      </x:c>
      <x:c r="Q12" s="20" t="n">
        <x:v>44385</x:v>
      </x:c>
      <x:c r="R12" s="20"/>
      <x:c r="S12" s="8" t="str">
        <x:v>source_checked</x:v>
      </x:c>
      <x:c r="T12" s="8" t="str">
        <x:v>AI extraction; professional review pending</x:v>
      </x:c>
      <x:c r="U12" s="20" t="n">
        <x:v>46314</x:v>
      </x:c>
      <x:c r="V12" s="8" t="str">
        <x:v>pending</x:v>
      </x:c>
      <x:c r="W12" s="21" t="b">
        <x:v>0</x:v>
      </x:c>
      <x:c r="X12" s="8" t="str">
        <x:v>{"scope_review_required":true,"entity":"toilet","parameter":"floor_area","comparison":"&gt;=","threshold":1.7,"unit":"m2","condition_text":"toilet"}</x:v>
      </x:c>
      <x:c r="Y12" s="8" t="str">
        <x:v>Area and width are independent simultaneous requirements. First room is not automatically master bedroom. Measurement basis requires review.</x:v>
      </x:c>
    </x:row>
    <x:row r="13" ht="70" customHeight="1">
      <x:c r="A13" s="11" t="str">
        <x:v>BM_0012</x:v>
      </x:c>
      <x:c r="B13" s="11" t="str">
        <x:v>Room Rules</x:v>
      </x:c>
      <x:c r="C13" s="11" t="str">
        <x:v>toilet</x:v>
      </x:c>
      <x:c r="D13" s="11" t="str">
        <x:v>width</x:v>
      </x:c>
      <x:c r="E13" s="11" t="str">
        <x:v>&gt;=</x:v>
      </x:c>
      <x:c r="F13" s="12" t="n">
        <x:v>1</x:v>
      </x:c>
      <x:c r="G13" s="11" t="str">
        <x:v>m</x:v>
      </x:c>
      <x:c r="H13" s="11" t="str">
        <x:v>toilet</x:v>
      </x:c>
      <x:c r="I13" s="11" t="str">
        <x:v>regulation</x:v>
      </x:c>
      <x:c r="J13" s="11" t="str">
        <x:v>hard</x:v>
      </x:c>
      <x:c r="K13" s="11" t="str">
        <x:v>SRC_0001</x:v>
      </x:c>
      <x:c r="L13" s="11" t="str">
        <x:v>2235-54_E.pdf</x:v>
      </x:c>
      <x:c r="M13" s="11" t="str">
        <x:v>Schedule 7; Regulations 65,75</x:v>
      </x:c>
      <x:c r="N13" s="22" t="n">
        <x:v>123</x:v>
      </x:c>
      <x:c r="O13" s="11" t="str">
        <x:v>123A</x:v>
      </x:c>
      <x:c r="P13" s="11" t="str">
        <x:v>Sri Lanka declared Urban Development Areas; site/local-plan applicability and later amendments pending</x:v>
      </x:c>
      <x:c r="Q13" s="23" t="n">
        <x:v>44385</x:v>
      </x:c>
      <x:c r="R13" s="23"/>
      <x:c r="S13" s="11" t="str">
        <x:v>source_checked</x:v>
      </x:c>
      <x:c r="T13" s="11" t="str">
        <x:v>AI extraction; professional review pending</x:v>
      </x:c>
      <x:c r="U13" s="23" t="n">
        <x:v>46314</x:v>
      </x:c>
      <x:c r="V13" s="11" t="str">
        <x:v>pending</x:v>
      </x:c>
      <x:c r="W13" s="24" t="b">
        <x:v>0</x:v>
      </x:c>
      <x:c r="X13" s="11" t="str">
        <x:v>{"scope_review_required":true,"entity":"toilet","parameter":"width","comparison":"&gt;=","threshold":1,"unit":"m","condition_text":"toilet"}</x:v>
      </x:c>
      <x:c r="Y13" s="11" t="str">
        <x:v>Area and width are independent simultaneous requirements. First room is not automatically master bedroom. Measurement basis requires review.</x:v>
      </x:c>
    </x:row>
    <x:row r="14" ht="70" customHeight="1">
      <x:c r="A14" s="8" t="str">
        <x:v>BM_0013</x:v>
      </x:c>
      <x:c r="B14" s="8" t="str">
        <x:v>Room Rules</x:v>
      </x:c>
      <x:c r="C14" s="8" t="str">
        <x:v>combined_bath_toilet</x:v>
      </x:c>
      <x:c r="D14" s="8" t="str">
        <x:v>floor_area</x:v>
      </x:c>
      <x:c r="E14" s="8" t="str">
        <x:v>&gt;=</x:v>
      </x:c>
      <x:c r="F14" s="10" t="n">
        <x:v>2</x:v>
      </x:c>
      <x:c r="G14" s="8" t="str">
        <x:v>m2</x:v>
      </x:c>
      <x:c r="H14" s="8" t="str">
        <x:v>combined bathroom and WC</x:v>
      </x:c>
      <x:c r="I14" s="8" t="str">
        <x:v>regulation</x:v>
      </x:c>
      <x:c r="J14" s="8" t="str">
        <x:v>hard</x:v>
      </x:c>
      <x:c r="K14" s="8" t="str">
        <x:v>SRC_0001</x:v>
      </x:c>
      <x:c r="L14" s="8" t="str">
        <x:v>2235-54_E.pdf</x:v>
      </x:c>
      <x:c r="M14" s="8" t="str">
        <x:v>Schedule 7; Regulations 65,75</x:v>
      </x:c>
      <x:c r="N14" s="18" t="n">
        <x:v>123</x:v>
      </x:c>
      <x:c r="O14" s="8" t="str">
        <x:v>123A</x:v>
      </x:c>
      <x:c r="P14" s="8" t="str">
        <x:v>Sri Lanka declared Urban Development Areas; site/local-plan applicability and later amendments pending</x:v>
      </x:c>
      <x:c r="Q14" s="20" t="n">
        <x:v>44385</x:v>
      </x:c>
      <x:c r="R14" s="20"/>
      <x:c r="S14" s="8" t="str">
        <x:v>source_checked</x:v>
      </x:c>
      <x:c r="T14" s="8" t="str">
        <x:v>AI extraction; professional review pending</x:v>
      </x:c>
      <x:c r="U14" s="20" t="n">
        <x:v>46314</x:v>
      </x:c>
      <x:c r="V14" s="8" t="str">
        <x:v>pending</x:v>
      </x:c>
      <x:c r="W14" s="21" t="b">
        <x:v>0</x:v>
      </x:c>
      <x:c r="X14" s="8" t="str">
        <x:v>{"scope_review_required":true,"entity":"combined_bath_toilet","parameter":"floor_area","comparison":"&gt;=","threshold":2,"unit":"m2","condition_text":"combined bathroom and WC"}</x:v>
      </x:c>
      <x:c r="Y14" s="8" t="str">
        <x:v>Area and width are independent simultaneous requirements. First room is not automatically master bedroom. Measurement basis requires review.</x:v>
      </x:c>
    </x:row>
    <x:row r="15" ht="70" customHeight="1">
      <x:c r="A15" s="11" t="str">
        <x:v>BM_0014</x:v>
      </x:c>
      <x:c r="B15" s="11" t="str">
        <x:v>Room Rules</x:v>
      </x:c>
      <x:c r="C15" s="11" t="str">
        <x:v>combined_bath_toilet</x:v>
      </x:c>
      <x:c r="D15" s="11" t="str">
        <x:v>width</x:v>
      </x:c>
      <x:c r="E15" s="11" t="str">
        <x:v>&gt;=</x:v>
      </x:c>
      <x:c r="F15" s="12" t="n">
        <x:v>1.5</x:v>
      </x:c>
      <x:c r="G15" s="11" t="str">
        <x:v>m</x:v>
      </x:c>
      <x:c r="H15" s="11" t="str">
        <x:v>combined bathroom and WC</x:v>
      </x:c>
      <x:c r="I15" s="11" t="str">
        <x:v>regulation</x:v>
      </x:c>
      <x:c r="J15" s="11" t="str">
        <x:v>hard</x:v>
      </x:c>
      <x:c r="K15" s="11" t="str">
        <x:v>SRC_0001</x:v>
      </x:c>
      <x:c r="L15" s="11" t="str">
        <x:v>2235-54_E.pdf</x:v>
      </x:c>
      <x:c r="M15" s="11" t="str">
        <x:v>Schedule 7; Regulations 65,75</x:v>
      </x:c>
      <x:c r="N15" s="22" t="n">
        <x:v>123</x:v>
      </x:c>
      <x:c r="O15" s="11" t="str">
        <x:v>123A</x:v>
      </x:c>
      <x:c r="P15" s="11" t="str">
        <x:v>Sri Lanka declared Urban Development Areas; site/local-plan applicability and later amendments pending</x:v>
      </x:c>
      <x:c r="Q15" s="23" t="n">
        <x:v>44385</x:v>
      </x:c>
      <x:c r="R15" s="23"/>
      <x:c r="S15" s="11" t="str">
        <x:v>source_checked</x:v>
      </x:c>
      <x:c r="T15" s="11" t="str">
        <x:v>AI extraction; professional review pending</x:v>
      </x:c>
      <x:c r="U15" s="23" t="n">
        <x:v>46314</x:v>
      </x:c>
      <x:c r="V15" s="11" t="str">
        <x:v>pending</x:v>
      </x:c>
      <x:c r="W15" s="24" t="b">
        <x:v>0</x:v>
      </x:c>
      <x:c r="X15" s="11" t="str">
        <x:v>{"scope_review_required":true,"entity":"combined_bath_toilet","parameter":"width","comparison":"&gt;=","threshold":1.5,"unit":"m","condition_text":"combined bathroom and WC"}</x:v>
      </x:c>
      <x:c r="Y15" s="11" t="str">
        <x:v>Area and width are independent simultaneous requirements. First room is not automatically master bedroom. Measurement basis requires review.</x:v>
      </x:c>
    </x:row>
    <x:row r="16" ht="70" customHeight="1">
      <x:c r="A16" s="8" t="str">
        <x:v>BM_0015</x:v>
      </x:c>
      <x:c r="B16" s="8" t="str">
        <x:v>Room Rules</x:v>
      </x:c>
      <x:c r="C16" s="8" t="str">
        <x:v>living_room</x:v>
      </x:c>
      <x:c r="D16" s="8" t="str">
        <x:v>average_height</x:v>
      </x:c>
      <x:c r="E16" s="8" t="str">
        <x:v>&gt;=</x:v>
      </x:c>
      <x:c r="F16" s="10" t="n">
        <x:v>2.8</x:v>
      </x:c>
      <x:c r="G16" s="8" t="str">
        <x:v>m</x:v>
      </x:c>
      <x:c r="H16" s="8" t="str">
        <x:v>residential room</x:v>
      </x:c>
      <x:c r="I16" s="8" t="str">
        <x:v>regulation</x:v>
      </x:c>
      <x:c r="J16" s="8" t="str">
        <x:v>hard</x:v>
      </x:c>
      <x:c r="K16" s="8" t="str">
        <x:v>SRC_0001</x:v>
      </x:c>
      <x:c r="L16" s="8" t="str">
        <x:v>2235-54_E.pdf</x:v>
      </x:c>
      <x:c r="M16" s="8" t="str">
        <x:v>67(1)(a)</x:v>
      </x:c>
      <x:c r="N16" s="18" t="n">
        <x:v>19</x:v>
      </x:c>
      <x:c r="O16" s="8" t="str">
        <x:v>19A</x:v>
      </x:c>
      <x:c r="P16" s="8" t="str">
        <x:v>Sri Lanka declared Urban Development Areas; site/local-plan applicability and later amendments pending</x:v>
      </x:c>
      <x:c r="Q16" s="20" t="n">
        <x:v>44385</x:v>
      </x:c>
      <x:c r="R16" s="20"/>
      <x:c r="S16" s="8" t="str">
        <x:v>source_checked</x:v>
      </x:c>
      <x:c r="T16" s="8" t="str">
        <x:v>AI extraction; professional review pending</x:v>
      </x:c>
      <x:c r="U16" s="20" t="n">
        <x:v>46314</x:v>
      </x:c>
      <x:c r="V16" s="8" t="str">
        <x:v>pending</x:v>
      </x:c>
      <x:c r="W16" s="21" t="b">
        <x:v>0</x:v>
      </x:c>
      <x:c r="X16" s="8" t="str">
        <x:v>{"scope_review_required":true,"entity":"living_room","parameter":"average_height","comparison":"&gt;=","threshold":2.8,"unit":"m","condition_text":"residential room"}</x:v>
      </x:c>
      <x:c r="Y16" s="8" t="str"/>
    </x:row>
    <x:row r="17" ht="70" customHeight="1">
      <x:c r="A17" s="11" t="str">
        <x:v>BM_0016</x:v>
      </x:c>
      <x:c r="B17" s="11" t="str">
        <x:v>Room Rules</x:v>
      </x:c>
      <x:c r="C17" s="11" t="str">
        <x:v>living_room</x:v>
      </x:c>
      <x:c r="D17" s="11" t="str">
        <x:v>lowest_height</x:v>
      </x:c>
      <x:c r="E17" s="11" t="str">
        <x:v>&gt;=</x:v>
      </x:c>
      <x:c r="F17" s="12" t="n">
        <x:v>2.4</x:v>
      </x:c>
      <x:c r="G17" s="11" t="str">
        <x:v>m</x:v>
      </x:c>
      <x:c r="H17" s="11" t="str">
        <x:v>residential room</x:v>
      </x:c>
      <x:c r="I17" s="11" t="str">
        <x:v>regulation</x:v>
      </x:c>
      <x:c r="J17" s="11" t="str">
        <x:v>hard</x:v>
      </x:c>
      <x:c r="K17" s="11" t="str">
        <x:v>SRC_0001</x:v>
      </x:c>
      <x:c r="L17" s="11" t="str">
        <x:v>2235-54_E.pdf</x:v>
      </x:c>
      <x:c r="M17" s="11" t="str">
        <x:v>67(1)(a)</x:v>
      </x:c>
      <x:c r="N17" s="22" t="n">
        <x:v>19</x:v>
      </x:c>
      <x:c r="O17" s="11" t="str">
        <x:v>19A</x:v>
      </x:c>
      <x:c r="P17" s="11" t="str">
        <x:v>Sri Lanka declared Urban Development Areas; site/local-plan applicability and later amendments pending</x:v>
      </x:c>
      <x:c r="Q17" s="23" t="n">
        <x:v>44385</x:v>
      </x:c>
      <x:c r="R17" s="23"/>
      <x:c r="S17" s="11" t="str">
        <x:v>source_checked</x:v>
      </x:c>
      <x:c r="T17" s="11" t="str">
        <x:v>AI extraction; professional review pending</x:v>
      </x:c>
      <x:c r="U17" s="23" t="n">
        <x:v>46314</x:v>
      </x:c>
      <x:c r="V17" s="11" t="str">
        <x:v>pending</x:v>
      </x:c>
      <x:c r="W17" s="24" t="b">
        <x:v>0</x:v>
      </x:c>
      <x:c r="X17" s="11" t="str">
        <x:v>{"scope_review_required":true,"entity":"living_room","parameter":"lowest_height","comparison":"&gt;=","threshold":2.4,"unit":"m","condition_text":"residential room"}</x:v>
      </x:c>
      <x:c r="Y17" s="11" t="str"/>
    </x:row>
    <x:row r="18" ht="70" customHeight="1">
      <x:c r="A18" s="8" t="str">
        <x:v>BM_0017</x:v>
      </x:c>
      <x:c r="B18" s="8" t="str">
        <x:v>Room Rules</x:v>
      </x:c>
      <x:c r="C18" s="8" t="str">
        <x:v>bedroom</x:v>
      </x:c>
      <x:c r="D18" s="8" t="str">
        <x:v>average_height</x:v>
      </x:c>
      <x:c r="E18" s="8" t="str">
        <x:v>&gt;=</x:v>
      </x:c>
      <x:c r="F18" s="10" t="n">
        <x:v>2.8</x:v>
      </x:c>
      <x:c r="G18" s="8" t="str">
        <x:v>m</x:v>
      </x:c>
      <x:c r="H18" s="8" t="str">
        <x:v>residential room</x:v>
      </x:c>
      <x:c r="I18" s="8" t="str">
        <x:v>regulation</x:v>
      </x:c>
      <x:c r="J18" s="8" t="str">
        <x:v>hard</x:v>
      </x:c>
      <x:c r="K18" s="8" t="str">
        <x:v>SRC_0001</x:v>
      </x:c>
      <x:c r="L18" s="8" t="str">
        <x:v>2235-54_E.pdf</x:v>
      </x:c>
      <x:c r="M18" s="8" t="str">
        <x:v>67(1)(a)</x:v>
      </x:c>
      <x:c r="N18" s="18" t="n">
        <x:v>19</x:v>
      </x:c>
      <x:c r="O18" s="8" t="str">
        <x:v>19A</x:v>
      </x:c>
      <x:c r="P18" s="8" t="str">
        <x:v>Sri Lanka declared Urban Development Areas; site/local-plan applicability and later amendments pending</x:v>
      </x:c>
      <x:c r="Q18" s="20" t="n">
        <x:v>44385</x:v>
      </x:c>
      <x:c r="R18" s="20"/>
      <x:c r="S18" s="8" t="str">
        <x:v>source_checked</x:v>
      </x:c>
      <x:c r="T18" s="8" t="str">
        <x:v>AI extraction; professional review pending</x:v>
      </x:c>
      <x:c r="U18" s="20" t="n">
        <x:v>46314</x:v>
      </x:c>
      <x:c r="V18" s="8" t="str">
        <x:v>pending</x:v>
      </x:c>
      <x:c r="W18" s="21" t="b">
        <x:v>0</x:v>
      </x:c>
      <x:c r="X18" s="8" t="str">
        <x:v>{"scope_review_required":true,"entity":"bedroom","parameter":"average_height","comparison":"&gt;=","threshold":2.8,"unit":"m","condition_text":"residential room"}</x:v>
      </x:c>
      <x:c r="Y18" s="8" t="str"/>
    </x:row>
    <x:row r="19" ht="70" customHeight="1">
      <x:c r="A19" s="11" t="str">
        <x:v>BM_0018</x:v>
      </x:c>
      <x:c r="B19" s="11" t="str">
        <x:v>Room Rules</x:v>
      </x:c>
      <x:c r="C19" s="11" t="str">
        <x:v>bedroom</x:v>
      </x:c>
      <x:c r="D19" s="11" t="str">
        <x:v>lowest_height</x:v>
      </x:c>
      <x:c r="E19" s="11" t="str">
        <x:v>&gt;=</x:v>
      </x:c>
      <x:c r="F19" s="12" t="n">
        <x:v>2.4</x:v>
      </x:c>
      <x:c r="G19" s="11" t="str">
        <x:v>m</x:v>
      </x:c>
      <x:c r="H19" s="11" t="str">
        <x:v>residential room</x:v>
      </x:c>
      <x:c r="I19" s="11" t="str">
        <x:v>regulation</x:v>
      </x:c>
      <x:c r="J19" s="11" t="str">
        <x:v>hard</x:v>
      </x:c>
      <x:c r="K19" s="11" t="str">
        <x:v>SRC_0001</x:v>
      </x:c>
      <x:c r="L19" s="11" t="str">
        <x:v>2235-54_E.pdf</x:v>
      </x:c>
      <x:c r="M19" s="11" t="str">
        <x:v>67(1)(a)</x:v>
      </x:c>
      <x:c r="N19" s="22" t="n">
        <x:v>19</x:v>
      </x:c>
      <x:c r="O19" s="11" t="str">
        <x:v>19A</x:v>
      </x:c>
      <x:c r="P19" s="11" t="str">
        <x:v>Sri Lanka declared Urban Development Areas; site/local-plan applicability and later amendments pending</x:v>
      </x:c>
      <x:c r="Q19" s="23" t="n">
        <x:v>44385</x:v>
      </x:c>
      <x:c r="R19" s="23"/>
      <x:c r="S19" s="11" t="str">
        <x:v>source_checked</x:v>
      </x:c>
      <x:c r="T19" s="11" t="str">
        <x:v>AI extraction; professional review pending</x:v>
      </x:c>
      <x:c r="U19" s="23" t="n">
        <x:v>46314</x:v>
      </x:c>
      <x:c r="V19" s="11" t="str">
        <x:v>pending</x:v>
      </x:c>
      <x:c r="W19" s="24" t="b">
        <x:v>0</x:v>
      </x:c>
      <x:c r="X19" s="11" t="str">
        <x:v>{"scope_review_required":true,"entity":"bedroom","parameter":"lowest_height","comparison":"&gt;=","threshold":2.4,"unit":"m","condition_text":"residential room"}</x:v>
      </x:c>
      <x:c r="Y19" s="11" t="str"/>
    </x:row>
    <x:row r="20" ht="70" customHeight="1">
      <x:c r="A20" s="8" t="str">
        <x:v>BM_0019</x:v>
      </x:c>
      <x:c r="B20" s="8" t="str">
        <x:v>Room Rules</x:v>
      </x:c>
      <x:c r="C20" s="8" t="str">
        <x:v>kitchen</x:v>
      </x:c>
      <x:c r="D20" s="8" t="str">
        <x:v>average_height</x:v>
      </x:c>
      <x:c r="E20" s="8" t="str">
        <x:v>&gt;=</x:v>
      </x:c>
      <x:c r="F20" s="10" t="n">
        <x:v>2.8</x:v>
      </x:c>
      <x:c r="G20" s="8" t="str">
        <x:v>m</x:v>
      </x:c>
      <x:c r="H20" s="8" t="str">
        <x:v>residential room</x:v>
      </x:c>
      <x:c r="I20" s="8" t="str">
        <x:v>regulation</x:v>
      </x:c>
      <x:c r="J20" s="8" t="str">
        <x:v>hard</x:v>
      </x:c>
      <x:c r="K20" s="8" t="str">
        <x:v>SRC_0001</x:v>
      </x:c>
      <x:c r="L20" s="8" t="str">
        <x:v>2235-54_E.pdf</x:v>
      </x:c>
      <x:c r="M20" s="8" t="str">
        <x:v>67(1)(a)</x:v>
      </x:c>
      <x:c r="N20" s="18" t="n">
        <x:v>19</x:v>
      </x:c>
      <x:c r="O20" s="8" t="str">
        <x:v>19A</x:v>
      </x:c>
      <x:c r="P20" s="8" t="str">
        <x:v>Sri Lanka declared Urban Development Areas; site/local-plan applicability and later amendments pending</x:v>
      </x:c>
      <x:c r="Q20" s="20" t="n">
        <x:v>44385</x:v>
      </x:c>
      <x:c r="R20" s="20"/>
      <x:c r="S20" s="8" t="str">
        <x:v>source_checked</x:v>
      </x:c>
      <x:c r="T20" s="8" t="str">
        <x:v>AI extraction; professional review pending</x:v>
      </x:c>
      <x:c r="U20" s="20" t="n">
        <x:v>46314</x:v>
      </x:c>
      <x:c r="V20" s="8" t="str">
        <x:v>pending</x:v>
      </x:c>
      <x:c r="W20" s="21" t="b">
        <x:v>0</x:v>
      </x:c>
      <x:c r="X20" s="8" t="str">
        <x:v>{"scope_review_required":true,"entity":"kitchen","parameter":"average_height","comparison":"&gt;=","threshold":2.8,"unit":"m","condition_text":"residential room"}</x:v>
      </x:c>
      <x:c r="Y20" s="8" t="str"/>
    </x:row>
    <x:row r="21" ht="70" customHeight="1">
      <x:c r="A21" s="11" t="str">
        <x:v>BM_0020</x:v>
      </x:c>
      <x:c r="B21" s="11" t="str">
        <x:v>Room Rules</x:v>
      </x:c>
      <x:c r="C21" s="11" t="str">
        <x:v>kitchen</x:v>
      </x:c>
      <x:c r="D21" s="11" t="str">
        <x:v>lowest_height</x:v>
      </x:c>
      <x:c r="E21" s="11" t="str">
        <x:v>&gt;=</x:v>
      </x:c>
      <x:c r="F21" s="12" t="n">
        <x:v>2.4</x:v>
      </x:c>
      <x:c r="G21" s="11" t="str">
        <x:v>m</x:v>
      </x:c>
      <x:c r="H21" s="11" t="str">
        <x:v>residential room</x:v>
      </x:c>
      <x:c r="I21" s="11" t="str">
        <x:v>regulation</x:v>
      </x:c>
      <x:c r="J21" s="11" t="str">
        <x:v>hard</x:v>
      </x:c>
      <x:c r="K21" s="11" t="str">
        <x:v>SRC_0001</x:v>
      </x:c>
      <x:c r="L21" s="11" t="str">
        <x:v>2235-54_E.pdf</x:v>
      </x:c>
      <x:c r="M21" s="11" t="str">
        <x:v>67(1)(a)</x:v>
      </x:c>
      <x:c r="N21" s="22" t="n">
        <x:v>19</x:v>
      </x:c>
      <x:c r="O21" s="11" t="str">
        <x:v>19A</x:v>
      </x:c>
      <x:c r="P21" s="11" t="str">
        <x:v>Sri Lanka declared Urban Development Areas; site/local-plan applicability and later amendments pending</x:v>
      </x:c>
      <x:c r="Q21" s="23" t="n">
        <x:v>44385</x:v>
      </x:c>
      <x:c r="R21" s="23"/>
      <x:c r="S21" s="11" t="str">
        <x:v>source_checked</x:v>
      </x:c>
      <x:c r="T21" s="11" t="str">
        <x:v>AI extraction; professional review pending</x:v>
      </x:c>
      <x:c r="U21" s="23" t="n">
        <x:v>46314</x:v>
      </x:c>
      <x:c r="V21" s="11" t="str">
        <x:v>pending</x:v>
      </x:c>
      <x:c r="W21" s="24" t="b">
        <x:v>0</x:v>
      </x:c>
      <x:c r="X21" s="11" t="str">
        <x:v>{"scope_review_required":true,"entity":"kitchen","parameter":"lowest_height","comparison":"&gt;=","threshold":2.4,"unit":"m","condition_text":"residential room"}</x:v>
      </x:c>
      <x:c r="Y21" s="11" t="str"/>
    </x:row>
    <x:row r="22" ht="70" customHeight="1">
      <x:c r="A22" s="8" t="str">
        <x:v>BM_0021</x:v>
      </x:c>
      <x:c r="B22" s="8" t="str">
        <x:v>Room Rules</x:v>
      </x:c>
      <x:c r="C22" s="8" t="str">
        <x:v>bathroom</x:v>
      </x:c>
      <x:c r="D22" s="8" t="str">
        <x:v>height</x:v>
      </x:c>
      <x:c r="E22" s="8" t="str">
        <x:v>&gt;=</x:v>
      </x:c>
      <x:c r="F22" s="10" t="n">
        <x:v>2.2</x:v>
      </x:c>
      <x:c r="G22" s="8" t="str">
        <x:v>m</x:v>
      </x:c>
      <x:c r="H22" s="8" t="str">
        <x:v>residential building</x:v>
      </x:c>
      <x:c r="I22" s="8" t="str">
        <x:v>regulation</x:v>
      </x:c>
      <x:c r="J22" s="8" t="str">
        <x:v>hard</x:v>
      </x:c>
      <x:c r="K22" s="8" t="str">
        <x:v>SRC_0001</x:v>
      </x:c>
      <x:c r="L22" s="8" t="str">
        <x:v>2235-54_E.pdf</x:v>
      </x:c>
      <x:c r="M22" s="8" t="str">
        <x:v>67(1)(b)</x:v>
      </x:c>
      <x:c r="N22" s="18" t="n">
        <x:v>19</x:v>
      </x:c>
      <x:c r="O22" s="8" t="str">
        <x:v>19A</x:v>
      </x:c>
      <x:c r="P22" s="8" t="str">
        <x:v>Sri Lanka declared Urban Development Areas; site/local-plan applicability and later amendments pending</x:v>
      </x:c>
      <x:c r="Q22" s="20" t="n">
        <x:v>44385</x:v>
      </x:c>
      <x:c r="R22" s="20"/>
      <x:c r="S22" s="8" t="str">
        <x:v>source_checked</x:v>
      </x:c>
      <x:c r="T22" s="8" t="str">
        <x:v>AI extraction; professional review pending</x:v>
      </x:c>
      <x:c r="U22" s="20" t="n">
        <x:v>46314</x:v>
      </x:c>
      <x:c r="V22" s="8" t="str">
        <x:v>pending</x:v>
      </x:c>
      <x:c r="W22" s="21" t="b">
        <x:v>0</x:v>
      </x:c>
      <x:c r="X22" s="8" t="str">
        <x:v>{"scope_review_required":true,"entity":"bathroom","parameter":"height","comparison":"&gt;=","threshold":2.2,"unit":"m","condition_text":"residential building"}</x:v>
      </x:c>
      <x:c r="Y22" s="8" t="str"/>
    </x:row>
    <x:row r="23" ht="70" customHeight="1">
      <x:c r="A23" s="11" t="str">
        <x:v>BM_0022</x:v>
      </x:c>
      <x:c r="B23" s="11" t="str">
        <x:v>Room Rules</x:v>
      </x:c>
      <x:c r="C23" s="11" t="str">
        <x:v>lavatory</x:v>
      </x:c>
      <x:c r="D23" s="11" t="str">
        <x:v>height</x:v>
      </x:c>
      <x:c r="E23" s="11" t="str">
        <x:v>&gt;=</x:v>
      </x:c>
      <x:c r="F23" s="12" t="n">
        <x:v>2.2</x:v>
      </x:c>
      <x:c r="G23" s="11" t="str">
        <x:v>m</x:v>
      </x:c>
      <x:c r="H23" s="11" t="str">
        <x:v>residential building</x:v>
      </x:c>
      <x:c r="I23" s="11" t="str">
        <x:v>regulation</x:v>
      </x:c>
      <x:c r="J23" s="11" t="str">
        <x:v>hard</x:v>
      </x:c>
      <x:c r="K23" s="11" t="str">
        <x:v>SRC_0001</x:v>
      </x:c>
      <x:c r="L23" s="11" t="str">
        <x:v>2235-54_E.pdf</x:v>
      </x:c>
      <x:c r="M23" s="11" t="str">
        <x:v>67(1)(b)</x:v>
      </x:c>
      <x:c r="N23" s="22" t="n">
        <x:v>19</x:v>
      </x:c>
      <x:c r="O23" s="11" t="str">
        <x:v>19A</x:v>
      </x:c>
      <x:c r="P23" s="11" t="str">
        <x:v>Sri Lanka declared Urban Development Areas; site/local-plan applicability and later amendments pending</x:v>
      </x:c>
      <x:c r="Q23" s="23" t="n">
        <x:v>44385</x:v>
      </x:c>
      <x:c r="R23" s="23"/>
      <x:c r="S23" s="11" t="str">
        <x:v>source_checked</x:v>
      </x:c>
      <x:c r="T23" s="11" t="str">
        <x:v>AI extraction; professional review pending</x:v>
      </x:c>
      <x:c r="U23" s="23" t="n">
        <x:v>46314</x:v>
      </x:c>
      <x:c r="V23" s="11" t="str">
        <x:v>pending</x:v>
      </x:c>
      <x:c r="W23" s="24" t="b">
        <x:v>0</x:v>
      </x:c>
      <x:c r="X23" s="11" t="str">
        <x:v>{"scope_review_required":true,"entity":"lavatory","parameter":"height","comparison":"&gt;=","threshold":2.2,"unit":"m","condition_text":"residential building"}</x:v>
      </x:c>
      <x:c r="Y23" s="11" t="str"/>
    </x:row>
    <x:row r="24" ht="70" customHeight="1">
      <x:c r="A24" s="8" t="str">
        <x:v>BM_0023</x:v>
      </x:c>
      <x:c r="B24" s="8" t="str">
        <x:v>Room Rules</x:v>
      </x:c>
      <x:c r="C24" s="8" t="str">
        <x:v>water_closet</x:v>
      </x:c>
      <x:c r="D24" s="8" t="str">
        <x:v>height</x:v>
      </x:c>
      <x:c r="E24" s="8" t="str">
        <x:v>&gt;=</x:v>
      </x:c>
      <x:c r="F24" s="10" t="n">
        <x:v>2.2</x:v>
      </x:c>
      <x:c r="G24" s="8" t="str">
        <x:v>m</x:v>
      </x:c>
      <x:c r="H24" s="8" t="str">
        <x:v>residential building</x:v>
      </x:c>
      <x:c r="I24" s="8" t="str">
        <x:v>regulation</x:v>
      </x:c>
      <x:c r="J24" s="8" t="str">
        <x:v>hard</x:v>
      </x:c>
      <x:c r="K24" s="8" t="str">
        <x:v>SRC_0001</x:v>
      </x:c>
      <x:c r="L24" s="8" t="str">
        <x:v>2235-54_E.pdf</x:v>
      </x:c>
      <x:c r="M24" s="8" t="str">
        <x:v>67(1)(b)</x:v>
      </x:c>
      <x:c r="N24" s="18" t="n">
        <x:v>19</x:v>
      </x:c>
      <x:c r="O24" s="8" t="str">
        <x:v>19A</x:v>
      </x:c>
      <x:c r="P24" s="8" t="str">
        <x:v>Sri Lanka declared Urban Development Areas; site/local-plan applicability and later amendments pending</x:v>
      </x:c>
      <x:c r="Q24" s="20" t="n">
        <x:v>44385</x:v>
      </x:c>
      <x:c r="R24" s="20"/>
      <x:c r="S24" s="8" t="str">
        <x:v>source_checked</x:v>
      </x:c>
      <x:c r="T24" s="8" t="str">
        <x:v>AI extraction; professional review pending</x:v>
      </x:c>
      <x:c r="U24" s="20" t="n">
        <x:v>46314</x:v>
      </x:c>
      <x:c r="V24" s="8" t="str">
        <x:v>pending</x:v>
      </x:c>
      <x:c r="W24" s="21" t="b">
        <x:v>0</x:v>
      </x:c>
      <x:c r="X24" s="8" t="str">
        <x:v>{"scope_review_required":true,"entity":"water_closet","parameter":"height","comparison":"&gt;=","threshold":2.2,"unit":"m","condition_text":"residential building"}</x:v>
      </x:c>
      <x:c r="Y24" s="8" t="str"/>
    </x:row>
    <x:row r="25" ht="70" customHeight="1">
      <x:c r="A25" s="11" t="str">
        <x:v>BM_0024</x:v>
      </x:c>
      <x:c r="B25" s="11" t="str">
        <x:v>Room Rules</x:v>
      </x:c>
      <x:c r="C25" s="11" t="str">
        <x:v>veranda</x:v>
      </x:c>
      <x:c r="D25" s="11" t="str">
        <x:v>height</x:v>
      </x:c>
      <x:c r="E25" s="11" t="str">
        <x:v>&gt;=</x:v>
      </x:c>
      <x:c r="F25" s="12" t="n">
        <x:v>2.2</x:v>
      </x:c>
      <x:c r="G25" s="11" t="str">
        <x:v>m</x:v>
      </x:c>
      <x:c r="H25" s="11" t="str">
        <x:v>residential building</x:v>
      </x:c>
      <x:c r="I25" s="11" t="str">
        <x:v>regulation</x:v>
      </x:c>
      <x:c r="J25" s="11" t="str">
        <x:v>hard</x:v>
      </x:c>
      <x:c r="K25" s="11" t="str">
        <x:v>SRC_0001</x:v>
      </x:c>
      <x:c r="L25" s="11" t="str">
        <x:v>2235-54_E.pdf</x:v>
      </x:c>
      <x:c r="M25" s="11" t="str">
        <x:v>67(1)(b)</x:v>
      </x:c>
      <x:c r="N25" s="22" t="n">
        <x:v>19</x:v>
      </x:c>
      <x:c r="O25" s="11" t="str">
        <x:v>19A</x:v>
      </x:c>
      <x:c r="P25" s="11" t="str">
        <x:v>Sri Lanka declared Urban Development Areas; site/local-plan applicability and later amendments pending</x:v>
      </x:c>
      <x:c r="Q25" s="23" t="n">
        <x:v>44385</x:v>
      </x:c>
      <x:c r="R25" s="23"/>
      <x:c r="S25" s="11" t="str">
        <x:v>source_checked</x:v>
      </x:c>
      <x:c r="T25" s="11" t="str">
        <x:v>AI extraction; professional review pending</x:v>
      </x:c>
      <x:c r="U25" s="23" t="n">
        <x:v>46314</x:v>
      </x:c>
      <x:c r="V25" s="11" t="str">
        <x:v>pending</x:v>
      </x:c>
      <x:c r="W25" s="24" t="b">
        <x:v>0</x:v>
      </x:c>
      <x:c r="X25" s="11" t="str">
        <x:v>{"scope_review_required":true,"entity":"veranda","parameter":"height","comparison":"&gt;=","threshold":2.2,"unit":"m","condition_text":"residential building"}</x:v>
      </x:c>
      <x:c r="Y25" s="11" t="str"/>
    </x:row>
    <x:row r="26" ht="70" customHeight="1">
      <x:c r="A26" s="8" t="str">
        <x:v>BM_0025</x:v>
      </x:c>
      <x:c r="B26" s="8" t="str">
        <x:v>Room Rules</x:v>
      </x:c>
      <x:c r="C26" s="8" t="str">
        <x:v>balcony</x:v>
      </x:c>
      <x:c r="D26" s="8" t="str">
        <x:v>height</x:v>
      </x:c>
      <x:c r="E26" s="8" t="str">
        <x:v>&gt;=</x:v>
      </x:c>
      <x:c r="F26" s="10" t="n">
        <x:v>2.2</x:v>
      </x:c>
      <x:c r="G26" s="8" t="str">
        <x:v>m</x:v>
      </x:c>
      <x:c r="H26" s="8" t="str">
        <x:v>residential building</x:v>
      </x:c>
      <x:c r="I26" s="8" t="str">
        <x:v>regulation</x:v>
      </x:c>
      <x:c r="J26" s="8" t="str">
        <x:v>hard</x:v>
      </x:c>
      <x:c r="K26" s="8" t="str">
        <x:v>SRC_0001</x:v>
      </x:c>
      <x:c r="L26" s="8" t="str">
        <x:v>2235-54_E.pdf</x:v>
      </x:c>
      <x:c r="M26" s="8" t="str">
        <x:v>67(1)(b)</x:v>
      </x:c>
      <x:c r="N26" s="18" t="n">
        <x:v>19</x:v>
      </x:c>
      <x:c r="O26" s="8" t="str">
        <x:v>19A</x:v>
      </x:c>
      <x:c r="P26" s="8" t="str">
        <x:v>Sri Lanka declared Urban Development Areas; site/local-plan applicability and later amendments pending</x:v>
      </x:c>
      <x:c r="Q26" s="20" t="n">
        <x:v>44385</x:v>
      </x:c>
      <x:c r="R26" s="20"/>
      <x:c r="S26" s="8" t="str">
        <x:v>source_checked</x:v>
      </x:c>
      <x:c r="T26" s="8" t="str">
        <x:v>AI extraction; professional review pending</x:v>
      </x:c>
      <x:c r="U26" s="20" t="n">
        <x:v>46314</x:v>
      </x:c>
      <x:c r="V26" s="8" t="str">
        <x:v>pending</x:v>
      </x:c>
      <x:c r="W26" s="21" t="b">
        <x:v>0</x:v>
      </x:c>
      <x:c r="X26" s="8" t="str">
        <x:v>{"scope_review_required":true,"entity":"balcony","parameter":"height","comparison":"&gt;=","threshold":2.2,"unit":"m","condition_text":"residential building"}</x:v>
      </x:c>
      <x:c r="Y26" s="8" t="str"/>
    </x:row>
    <x:row r="27" ht="70" customHeight="1">
      <x:c r="A27" s="11" t="str">
        <x:v>BM_0026</x:v>
      </x:c>
      <x:c r="B27" s="11" t="str">
        <x:v>Room Rules</x:v>
      </x:c>
      <x:c r="C27" s="11" t="str">
        <x:v>terrace</x:v>
      </x:c>
      <x:c r="D27" s="11" t="str">
        <x:v>height</x:v>
      </x:c>
      <x:c r="E27" s="11" t="str">
        <x:v>&gt;=</x:v>
      </x:c>
      <x:c r="F27" s="12" t="n">
        <x:v>2.2</x:v>
      </x:c>
      <x:c r="G27" s="11" t="str">
        <x:v>m</x:v>
      </x:c>
      <x:c r="H27" s="11" t="str">
        <x:v>residential building</x:v>
      </x:c>
      <x:c r="I27" s="11" t="str">
        <x:v>regulation</x:v>
      </x:c>
      <x:c r="J27" s="11" t="str">
        <x:v>hard</x:v>
      </x:c>
      <x:c r="K27" s="11" t="str">
        <x:v>SRC_0001</x:v>
      </x:c>
      <x:c r="L27" s="11" t="str">
        <x:v>2235-54_E.pdf</x:v>
      </x:c>
      <x:c r="M27" s="11" t="str">
        <x:v>67(1)(b)</x:v>
      </x:c>
      <x:c r="N27" s="22" t="n">
        <x:v>19</x:v>
      </x:c>
      <x:c r="O27" s="11" t="str">
        <x:v>19A</x:v>
      </x:c>
      <x:c r="P27" s="11" t="str">
        <x:v>Sri Lanka declared Urban Development Areas; site/local-plan applicability and later amendments pending</x:v>
      </x:c>
      <x:c r="Q27" s="23" t="n">
        <x:v>44385</x:v>
      </x:c>
      <x:c r="R27" s="23"/>
      <x:c r="S27" s="11" t="str">
        <x:v>source_checked</x:v>
      </x:c>
      <x:c r="T27" s="11" t="str">
        <x:v>AI extraction; professional review pending</x:v>
      </x:c>
      <x:c r="U27" s="23" t="n">
        <x:v>46314</x:v>
      </x:c>
      <x:c r="V27" s="11" t="str">
        <x:v>pending</x:v>
      </x:c>
      <x:c r="W27" s="24" t="b">
        <x:v>0</x:v>
      </x:c>
      <x:c r="X27" s="11" t="str">
        <x:v>{"scope_review_required":true,"entity":"terrace","parameter":"height","comparison":"&gt;=","threshold":2.2,"unit":"m","condition_text":"residential building"}</x:v>
      </x:c>
      <x:c r="Y27" s="11" t="str"/>
    </x:row>
    <x:row r="28" ht="70" customHeight="1">
      <x:c r="A28" s="8" t="str">
        <x:v>BM_0027</x:v>
      </x:c>
      <x:c r="B28" s="8" t="str">
        <x:v>Room Rules</x:v>
      </x:c>
      <x:c r="C28" s="8" t="str">
        <x:v>garage</x:v>
      </x:c>
      <x:c r="D28" s="8" t="str">
        <x:v>height</x:v>
      </x:c>
      <x:c r="E28" s="8" t="str">
        <x:v>&gt;=</x:v>
      </x:c>
      <x:c r="F28" s="10" t="n">
        <x:v>2.2</x:v>
      </x:c>
      <x:c r="G28" s="8" t="str">
        <x:v>m</x:v>
      </x:c>
      <x:c r="H28" s="8" t="str">
        <x:v>residential building</x:v>
      </x:c>
      <x:c r="I28" s="8" t="str">
        <x:v>regulation</x:v>
      </x:c>
      <x:c r="J28" s="8" t="str">
        <x:v>hard</x:v>
      </x:c>
      <x:c r="K28" s="8" t="str">
        <x:v>SRC_0001</x:v>
      </x:c>
      <x:c r="L28" s="8" t="str">
        <x:v>2235-54_E.pdf</x:v>
      </x:c>
      <x:c r="M28" s="8" t="str">
        <x:v>67(1)(b)</x:v>
      </x:c>
      <x:c r="N28" s="18" t="n">
        <x:v>19</x:v>
      </x:c>
      <x:c r="O28" s="8" t="str">
        <x:v>19A</x:v>
      </x:c>
      <x:c r="P28" s="8" t="str">
        <x:v>Sri Lanka declared Urban Development Areas; site/local-plan applicability and later amendments pending</x:v>
      </x:c>
      <x:c r="Q28" s="20" t="n">
        <x:v>44385</x:v>
      </x:c>
      <x:c r="R28" s="20"/>
      <x:c r="S28" s="8" t="str">
        <x:v>source_checked</x:v>
      </x:c>
      <x:c r="T28" s="8" t="str">
        <x:v>AI extraction; professional review pending</x:v>
      </x:c>
      <x:c r="U28" s="20" t="n">
        <x:v>46314</x:v>
      </x:c>
      <x:c r="V28" s="8" t="str">
        <x:v>pending</x:v>
      </x:c>
      <x:c r="W28" s="21" t="b">
        <x:v>0</x:v>
      </x:c>
      <x:c r="X28" s="8" t="str">
        <x:v>{"scope_review_required":true,"entity":"garage","parameter":"height","comparison":"&gt;=","threshold":2.2,"unit":"m","condition_text":"residential building"}</x:v>
      </x:c>
      <x:c r="Y28" s="8" t="str"/>
    </x:row>
    <x:row r="29" ht="84" customHeight="1">
      <x:c r="A29" s="11" t="str">
        <x:v>BM_0028</x:v>
      </x:c>
      <x:c r="B29" s="11" t="str">
        <x:v>Room Rules</x:v>
      </x:c>
      <x:c r="C29" s="11" t="str">
        <x:v>basement_parking_store_utility</x:v>
      </x:c>
      <x:c r="D29" s="11" t="str">
        <x:v>clear_height</x:v>
      </x:c>
      <x:c r="E29" s="11" t="str">
        <x:v>&gt;=</x:v>
      </x:c>
      <x:c r="F29" s="12" t="n">
        <x:v>2.4</x:v>
      </x:c>
      <x:c r="G29" s="11" t="str">
        <x:v>m</x:v>
      </x:c>
      <x:c r="H29" s="11" t="str">
        <x:v>basement or semi-basement; other uses have additional requirements</x:v>
      </x:c>
      <x:c r="I29" s="11" t="str">
        <x:v>regulation</x:v>
      </x:c>
      <x:c r="J29" s="11" t="str">
        <x:v>hard</x:v>
      </x:c>
      <x:c r="K29" s="11" t="str">
        <x:v>SRC_0001</x:v>
      </x:c>
      <x:c r="L29" s="11" t="str">
        <x:v>2235-54_E.pdf</x:v>
      </x:c>
      <x:c r="M29" s="11" t="str">
        <x:v>67(7)(a)</x:v>
      </x:c>
      <x:c r="N29" s="22" t="n">
        <x:v>20</x:v>
      </x:c>
      <x:c r="O29" s="11" t="str">
        <x:v>20A</x:v>
      </x:c>
      <x:c r="P29" s="11" t="str">
        <x:v>Sri Lanka declared Urban Development Areas; site/local-plan applicability and later amendments pending</x:v>
      </x:c>
      <x:c r="Q29" s="23" t="n">
        <x:v>44385</x:v>
      </x:c>
      <x:c r="R29" s="23"/>
      <x:c r="S29" s="11" t="str">
        <x:v>source_checked</x:v>
      </x:c>
      <x:c r="T29" s="11" t="str">
        <x:v>AI extraction; professional review pending</x:v>
      </x:c>
      <x:c r="U29" s="23" t="n">
        <x:v>46314</x:v>
      </x:c>
      <x:c r="V29" s="11" t="str">
        <x:v>pending</x:v>
      </x:c>
      <x:c r="W29" s="24" t="b">
        <x:v>0</x:v>
      </x:c>
      <x:c r="X29" s="11" t="str">
        <x:v>{"scope_review_required":true,"entity":"basement_parking_store_utility","parameter":"clear_height","comparison":"&gt;=","threshold":2.4,"unit":"m","condition_text":"basement or semi-basement; other uses have additional requirements"}</x:v>
      </x:c>
      <x:c r="Y29" s="11" t="str"/>
    </x:row>
  </x:sheetData>
  <x:conditionalFormatting sqref="S2:S29">
    <x:cfRule type="containsText" dxfId="0" priority="1" operator="containsText" text="pending"/>
    <x:cfRule type="containsText" dxfId="1" priority="2" operator="containsText" text="conflict"/>
  </x:conditionalFormatting>
  <x:conditionalFormatting sqref="V2:V29">
    <x:cfRule type="containsText" dxfId="2" priority="3" operator="containsText" text="pending"/>
    <x:cfRule type="containsText" dxfId="3" priority="4" operator="containsText" text="conflict"/>
  </x:conditionalFormatting>
  <x:pageMargins left="0.7" right="0.7" top="0.75" bottom="0.75" header="0.3" footer="0.3"/>
  <x:tableParts count="1">
    <x:tablePart xmlns:r="http://schemas.openxmlformats.org/officeDocument/2006/relationships" r:id="R6c5af965ec6d4e03"/>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32" hidden="0" customWidth="1"/>
    <x:col min="4" max="4" width="32" hidden="0" customWidth="1"/>
    <x:col min="5" max="5" width="22" hidden="0" customWidth="1"/>
    <x:col min="6" max="6" width="22" hidden="0" customWidth="1"/>
    <x:col min="7" max="7" width="22" hidden="0" customWidth="1"/>
    <x:col min="8" max="8" width="62" hidden="0" customWidth="1"/>
    <x:col min="9" max="9" width="22" hidden="0" customWidth="1"/>
    <x:col min="10" max="10" width="22" hidden="0" customWidth="1"/>
    <x:col min="11" max="11" width="22" hidden="0" customWidth="1"/>
    <x:col min="12" max="12" width="32" hidden="0" customWidth="1"/>
    <x:col min="13" max="13" width="32" hidden="0" customWidth="1"/>
    <x:col min="14" max="14" width="22" hidden="0" customWidth="1"/>
    <x:col min="15" max="15" width="22" hidden="0" customWidth="1"/>
    <x:col min="16" max="16" width="32" hidden="0" customWidth="1"/>
    <x:col min="17" max="17" width="22" hidden="0" customWidth="1"/>
    <x:col min="18" max="18" width="22" hidden="0" customWidth="1"/>
    <x:col min="19" max="19" width="32" hidden="0" customWidth="1"/>
    <x:col min="20" max="20" width="32" hidden="0" customWidth="1"/>
    <x:col min="21" max="21" width="22" hidden="0" customWidth="1"/>
    <x:col min="22" max="22" width="22" hidden="0" customWidth="1"/>
    <x:col min="23" max="23" width="22" hidden="0" customWidth="1"/>
    <x:col min="24" max="24" width="62" hidden="0" customWidth="1"/>
    <x:col min="25" max="25" width="62" hidden="0" customWidth="1"/>
  </x:cols>
  <x:sheetData>
    <x:row r="1" ht="44" customHeight="1">
      <x:c r="A1" s="7" t="str">
        <x:v>rule_id</x:v>
      </x:c>
      <x:c r="B1" s="7" t="str">
        <x:v>category</x:v>
      </x:c>
      <x:c r="C1" s="7" t="str">
        <x:v>entity</x:v>
      </x:c>
      <x:c r="D1" s="7" t="str">
        <x:v>parameter</x:v>
      </x:c>
      <x:c r="E1" s="7" t="str">
        <x:v>operator</x:v>
      </x:c>
      <x:c r="F1" s="9" t="str">
        <x:v>value</x:v>
      </x:c>
      <x:c r="G1" s="7" t="str">
        <x:v>unit</x:v>
      </x:c>
      <x:c r="H1" s="7" t="str">
        <x:v>condition</x:v>
      </x:c>
      <x:c r="I1" s="7" t="str">
        <x:v>rule_type</x:v>
      </x:c>
      <x:c r="J1" s="7" t="str">
        <x:v>severity</x:v>
      </x:c>
      <x:c r="K1" s="7" t="str">
        <x:v>source_id</x:v>
      </x:c>
      <x:c r="L1" s="7" t="str">
        <x:v>source_document</x:v>
      </x:c>
      <x:c r="M1" s="7" t="str">
        <x:v>source_clause</x:v>
      </x:c>
      <x:c r="N1" s="17" t="str">
        <x:v>pdf_page</x:v>
      </x:c>
      <x:c r="O1" s="7" t="str">
        <x:v>printed_page</x:v>
      </x:c>
      <x:c r="P1" s="7" t="str">
        <x:v>jurisdiction</x:v>
      </x:c>
      <x:c r="Q1" s="19" t="str">
        <x:v>source_date</x:v>
      </x:c>
      <x:c r="R1" s="19" t="str">
        <x:v>effective_date</x:v>
      </x:c>
      <x:c r="S1" s="7" t="str">
        <x:v>verification_status</x:v>
      </x:c>
      <x:c r="T1" s="7" t="str">
        <x:v>verified_by</x:v>
      </x:c>
      <x:c r="U1" s="19" t="str">
        <x:v>checked_on</x:v>
      </x:c>
      <x:c r="V1" s="7" t="str">
        <x:v>applicability_status</x:v>
      </x:c>
      <x:c r="W1" s="7" t="str">
        <x:v>enable_in_production</x:v>
      </x:c>
      <x:c r="X1" s="7" t="str">
        <x:v>condition_json</x:v>
      </x:c>
      <x:c r="Y1" s="7" t="str">
        <x:v>notes</x:v>
      </x:c>
    </x:row>
    <x:row r="2" ht="84" customHeight="1">
      <x:c r="A2" s="8" t="str">
        <x:v>BM_0029</x:v>
      </x:c>
      <x:c r="B2" s="8" t="str">
        <x:v>Stairs</x:v>
      </x:c>
      <x:c r="C2" s="8" t="str">
        <x:v>internal_stair_one_upper_floor</x:v>
      </x:c>
      <x:c r="D2" s="8" t="str">
        <x:v>width</x:v>
      </x:c>
      <x:c r="E2" s="8" t="str">
        <x:v>&gt;=</x:v>
      </x:c>
      <x:c r="F2" s="10" t="n">
        <x:v>750</x:v>
      </x:c>
      <x:c r="G2" s="8" t="str">
        <x:v>mm</x:v>
      </x:c>
      <x:c r="H2" s="8" t="str">
        <x:v>Apply correct category; do not use 750 mm for every staircase</x:v>
      </x:c>
      <x:c r="I2" s="8" t="str">
        <x:v>regulation</x:v>
      </x:c>
      <x:c r="J2" s="8" t="str">
        <x:v>hard</x:v>
      </x:c>
      <x:c r="K2" s="8" t="str">
        <x:v>SRC_0001</x:v>
      </x:c>
      <x:c r="L2" s="8" t="str">
        <x:v>2235-54_E.pdf</x:v>
      </x:c>
      <x:c r="M2" s="8" t="str">
        <x:v>Schedule 8; 68(1)</x:v>
      </x:c>
      <x:c r="N2" s="18" t="n">
        <x:v>123</x:v>
      </x:c>
      <x:c r="O2" s="8" t="str">
        <x:v>123A</x:v>
      </x:c>
      <x:c r="P2" s="8" t="str">
        <x:v>Sri Lanka declared Urban Development Areas; site/local-plan applicability and later amendments pending</x:v>
      </x:c>
      <x:c r="Q2" s="20" t="n">
        <x:v>44385</x:v>
      </x:c>
      <x:c r="R2" s="20"/>
      <x:c r="S2" s="8" t="str">
        <x:v>source_checked</x:v>
      </x:c>
      <x:c r="T2" s="8" t="str">
        <x:v>AI extraction; professional review pending</x:v>
      </x:c>
      <x:c r="U2" s="20" t="n">
        <x:v>46314</x:v>
      </x:c>
      <x:c r="V2" s="8" t="str">
        <x:v>pending</x:v>
      </x:c>
      <x:c r="W2" s="21" t="b">
        <x:v>0</x:v>
      </x:c>
      <x:c r="X2" s="8" t="str">
        <x:v>{"scope_review_required":true,"entity":"internal_stair_one_upper_floor","parameter":"width","comparison":"&gt;=","threshold":750,"unit":"mm","condition_text":"Apply correct category; do not use 750 mm for every staircase"}</x:v>
      </x:c>
      <x:c r="Y2" s="8" t="str"/>
    </x:row>
    <x:row r="3" ht="84" customHeight="1">
      <x:c r="A3" s="11" t="str">
        <x:v>BM_0030</x:v>
      </x:c>
      <x:c r="B3" s="11" t="str">
        <x:v>Stairs</x:v>
      </x:c>
      <x:c r="C3" s="11" t="str">
        <x:v>internal_stair_one_upper_floor</x:v>
      </x:c>
      <x:c r="D3" s="11" t="str">
        <x:v>clear_headroom</x:v>
      </x:c>
      <x:c r="E3" s="11" t="str">
        <x:v>&gt;=</x:v>
      </x:c>
      <x:c r="F3" s="12" t="n">
        <x:v>2.1</x:v>
      </x:c>
      <x:c r="G3" s="11" t="str">
        <x:v>m</x:v>
      </x:c>
      <x:c r="H3" s="11" t="str">
        <x:v>Apply correct category; do not use 750 mm for every staircase</x:v>
      </x:c>
      <x:c r="I3" s="11" t="str">
        <x:v>regulation</x:v>
      </x:c>
      <x:c r="J3" s="11" t="str">
        <x:v>hard</x:v>
      </x:c>
      <x:c r="K3" s="11" t="str">
        <x:v>SRC_0001</x:v>
      </x:c>
      <x:c r="L3" s="11" t="str">
        <x:v>2235-54_E.pdf</x:v>
      </x:c>
      <x:c r="M3" s="11" t="str">
        <x:v>Schedule 8; 68(1)</x:v>
      </x:c>
      <x:c r="N3" s="22" t="n">
        <x:v>123</x:v>
      </x:c>
      <x:c r="O3" s="11" t="str">
        <x:v>123A</x:v>
      </x:c>
      <x:c r="P3" s="11" t="str">
        <x:v>Sri Lanka declared Urban Development Areas; site/local-plan applicability and later amendments pending</x:v>
      </x:c>
      <x:c r="Q3" s="23" t="n">
        <x:v>44385</x:v>
      </x:c>
      <x:c r="R3" s="23"/>
      <x:c r="S3" s="11" t="str">
        <x:v>source_checked</x:v>
      </x:c>
      <x:c r="T3" s="11" t="str">
        <x:v>AI extraction; professional review pending</x:v>
      </x:c>
      <x:c r="U3" s="23" t="n">
        <x:v>46314</x:v>
      </x:c>
      <x:c r="V3" s="11" t="str">
        <x:v>pending</x:v>
      </x:c>
      <x:c r="W3" s="24" t="b">
        <x:v>0</x:v>
      </x:c>
      <x:c r="X3" s="11" t="str">
        <x:v>{"scope_review_required":true,"entity":"internal_stair_one_upper_floor","parameter":"clear_headroom","comparison":"&gt;=","threshold":2.1,"unit":"m","condition_text":"Apply correct category; do not use 750 mm for every staircase"}</x:v>
      </x:c>
      <x:c r="Y3" s="11" t="str"/>
    </x:row>
    <x:row r="4" ht="84" customHeight="1">
      <x:c r="A4" s="8" t="str">
        <x:v>BM_0031</x:v>
      </x:c>
      <x:c r="B4" s="8" t="str">
        <x:v>Stairs</x:v>
      </x:c>
      <x:c r="C4" s="8" t="str">
        <x:v>internal_stair_one_upper_floor</x:v>
      </x:c>
      <x:c r="D4" s="8" t="str">
        <x:v>riser</x:v>
      </x:c>
      <x:c r="E4" s="8" t="str">
        <x:v>&lt;=</x:v>
      </x:c>
      <x:c r="F4" s="10" t="n">
        <x:v>175</x:v>
      </x:c>
      <x:c r="G4" s="8" t="str">
        <x:v>mm</x:v>
      </x:c>
      <x:c r="H4" s="8" t="str">
        <x:v>Apply correct category; do not use 750 mm for every staircase</x:v>
      </x:c>
      <x:c r="I4" s="8" t="str">
        <x:v>regulation</x:v>
      </x:c>
      <x:c r="J4" s="8" t="str">
        <x:v>hard</x:v>
      </x:c>
      <x:c r="K4" s="8" t="str">
        <x:v>SRC_0001</x:v>
      </x:c>
      <x:c r="L4" s="8" t="str">
        <x:v>2235-54_E.pdf</x:v>
      </x:c>
      <x:c r="M4" s="8" t="str">
        <x:v>Schedule 8; 68(1)</x:v>
      </x:c>
      <x:c r="N4" s="18" t="n">
        <x:v>123</x:v>
      </x:c>
      <x:c r="O4" s="8" t="str">
        <x:v>123A</x:v>
      </x:c>
      <x:c r="P4" s="8" t="str">
        <x:v>Sri Lanka declared Urban Development Areas; site/local-plan applicability and later amendments pending</x:v>
      </x:c>
      <x:c r="Q4" s="20" t="n">
        <x:v>44385</x:v>
      </x:c>
      <x:c r="R4" s="20"/>
      <x:c r="S4" s="8" t="str">
        <x:v>source_checked</x:v>
      </x:c>
      <x:c r="T4" s="8" t="str">
        <x:v>AI extraction; professional review pending</x:v>
      </x:c>
      <x:c r="U4" s="20" t="n">
        <x:v>46314</x:v>
      </x:c>
      <x:c r="V4" s="8" t="str">
        <x:v>pending</x:v>
      </x:c>
      <x:c r="W4" s="21" t="b">
        <x:v>0</x:v>
      </x:c>
      <x:c r="X4" s="8" t="str">
        <x:v>{"scope_review_required":true,"entity":"internal_stair_one_upper_floor","parameter":"riser","comparison":"&lt;=","threshold":175,"unit":"mm","condition_text":"Apply correct category; do not use 750 mm for every staircase"}</x:v>
      </x:c>
      <x:c r="Y4" s="8" t="str"/>
    </x:row>
    <x:row r="5" ht="84" customHeight="1">
      <x:c r="A5" s="11" t="str">
        <x:v>BM_0032</x:v>
      </x:c>
      <x:c r="B5" s="11" t="str">
        <x:v>Stairs</x:v>
      </x:c>
      <x:c r="C5" s="11" t="str">
        <x:v>internal_stair_one_upper_floor</x:v>
      </x:c>
      <x:c r="D5" s="11" t="str">
        <x:v>tread</x:v>
      </x:c>
      <x:c r="E5" s="11" t="str">
        <x:v>&gt;=</x:v>
      </x:c>
      <x:c r="F5" s="12" t="n">
        <x:v>250</x:v>
      </x:c>
      <x:c r="G5" s="11" t="str">
        <x:v>mm</x:v>
      </x:c>
      <x:c r="H5" s="11" t="str">
        <x:v>Apply correct category; do not use 750 mm for every staircase</x:v>
      </x:c>
      <x:c r="I5" s="11" t="str">
        <x:v>regulation</x:v>
      </x:c>
      <x:c r="J5" s="11" t="str">
        <x:v>hard</x:v>
      </x:c>
      <x:c r="K5" s="11" t="str">
        <x:v>SRC_0001</x:v>
      </x:c>
      <x:c r="L5" s="11" t="str">
        <x:v>2235-54_E.pdf</x:v>
      </x:c>
      <x:c r="M5" s="11" t="str">
        <x:v>Schedule 8; 68(1)</x:v>
      </x:c>
      <x:c r="N5" s="22" t="n">
        <x:v>123</x:v>
      </x:c>
      <x:c r="O5" s="11" t="str">
        <x:v>123A</x:v>
      </x:c>
      <x:c r="P5" s="11" t="str">
        <x:v>Sri Lanka declared Urban Development Areas; site/local-plan applicability and later amendments pending</x:v>
      </x:c>
      <x:c r="Q5" s="23" t="n">
        <x:v>44385</x:v>
      </x:c>
      <x:c r="R5" s="23"/>
      <x:c r="S5" s="11" t="str">
        <x:v>source_checked</x:v>
      </x:c>
      <x:c r="T5" s="11" t="str">
        <x:v>AI extraction; professional review pending</x:v>
      </x:c>
      <x:c r="U5" s="23" t="n">
        <x:v>46314</x:v>
      </x:c>
      <x:c r="V5" s="11" t="str">
        <x:v>pending</x:v>
      </x:c>
      <x:c r="W5" s="24" t="b">
        <x:v>0</x:v>
      </x:c>
      <x:c r="X5" s="11" t="str">
        <x:v>{"scope_review_required":true,"entity":"internal_stair_one_upper_floor","parameter":"tread","comparison":"&gt;=","threshold":250,"unit":"mm","condition_text":"Apply correct category; do not use 750 mm for every staircase"}</x:v>
      </x:c>
      <x:c r="Y5" s="11" t="str"/>
    </x:row>
    <x:row r="6" ht="84" customHeight="1">
      <x:c r="A6" s="8" t="str">
        <x:v>BM_0033</x:v>
      </x:c>
      <x:c r="B6" s="8" t="str">
        <x:v>Stairs</x:v>
      </x:c>
      <x:c r="C6" s="8" t="str">
        <x:v>public_condominium_and_all_other_stairs</x:v>
      </x:c>
      <x:c r="D6" s="8" t="str">
        <x:v>width</x:v>
      </x:c>
      <x:c r="E6" s="8" t="str">
        <x:v>&gt;=</x:v>
      </x:c>
      <x:c r="F6" s="10" t="n">
        <x:v>1050</x:v>
      </x:c>
      <x:c r="G6" s="8" t="str">
        <x:v>mm</x:v>
      </x:c>
      <x:c r="H6" s="8" t="str">
        <x:v>Apply correct category; do not use 750 mm for every staircase</x:v>
      </x:c>
      <x:c r="I6" s="8" t="str">
        <x:v>regulation</x:v>
      </x:c>
      <x:c r="J6" s="8" t="str">
        <x:v>hard</x:v>
      </x:c>
      <x:c r="K6" s="8" t="str">
        <x:v>SRC_0001</x:v>
      </x:c>
      <x:c r="L6" s="8" t="str">
        <x:v>2235-54_E.pdf</x:v>
      </x:c>
      <x:c r="M6" s="8" t="str">
        <x:v>Schedule 8; 68(1)</x:v>
      </x:c>
      <x:c r="N6" s="18" t="n">
        <x:v>123</x:v>
      </x:c>
      <x:c r="O6" s="8" t="str">
        <x:v>123A</x:v>
      </x:c>
      <x:c r="P6" s="8" t="str">
        <x:v>Sri Lanka declared Urban Development Areas; site/local-plan applicability and later amendments pending</x:v>
      </x:c>
      <x:c r="Q6" s="20" t="n">
        <x:v>44385</x:v>
      </x:c>
      <x:c r="R6" s="20"/>
      <x:c r="S6" s="8" t="str">
        <x:v>source_checked</x:v>
      </x:c>
      <x:c r="T6" s="8" t="str">
        <x:v>AI extraction; professional review pending</x:v>
      </x:c>
      <x:c r="U6" s="20" t="n">
        <x:v>46314</x:v>
      </x:c>
      <x:c r="V6" s="8" t="str">
        <x:v>pending</x:v>
      </x:c>
      <x:c r="W6" s="21" t="b">
        <x:v>0</x:v>
      </x:c>
      <x:c r="X6" s="8" t="str">
        <x:v>{"scope_review_required":true,"entity":"public_condominium_and_all_other_stairs","parameter":"width","comparison":"&gt;=","threshold":1050,"unit":"mm","condition_text":"Apply correct category; do not use 750 mm for every staircase"}</x:v>
      </x:c>
      <x:c r="Y6" s="8" t="str"/>
    </x:row>
    <x:row r="7" ht="84" customHeight="1">
      <x:c r="A7" s="11" t="str">
        <x:v>BM_0034</x:v>
      </x:c>
      <x:c r="B7" s="11" t="str">
        <x:v>Stairs</x:v>
      </x:c>
      <x:c r="C7" s="11" t="str">
        <x:v>public_condominium_and_all_other_stairs</x:v>
      </x:c>
      <x:c r="D7" s="11" t="str">
        <x:v>clear_headroom</x:v>
      </x:c>
      <x:c r="E7" s="11" t="str">
        <x:v>&gt;=</x:v>
      </x:c>
      <x:c r="F7" s="12" t="n">
        <x:v>2.1</x:v>
      </x:c>
      <x:c r="G7" s="11" t="str">
        <x:v>m</x:v>
      </x:c>
      <x:c r="H7" s="11" t="str">
        <x:v>Apply correct category; do not use 750 mm for every staircase</x:v>
      </x:c>
      <x:c r="I7" s="11" t="str">
        <x:v>regulation</x:v>
      </x:c>
      <x:c r="J7" s="11" t="str">
        <x:v>hard</x:v>
      </x:c>
      <x:c r="K7" s="11" t="str">
        <x:v>SRC_0001</x:v>
      </x:c>
      <x:c r="L7" s="11" t="str">
        <x:v>2235-54_E.pdf</x:v>
      </x:c>
      <x:c r="M7" s="11" t="str">
        <x:v>Schedule 8; 68(1)</x:v>
      </x:c>
      <x:c r="N7" s="22" t="n">
        <x:v>123</x:v>
      </x:c>
      <x:c r="O7" s="11" t="str">
        <x:v>123A</x:v>
      </x:c>
      <x:c r="P7" s="11" t="str">
        <x:v>Sri Lanka declared Urban Development Areas; site/local-plan applicability and later amendments pending</x:v>
      </x:c>
      <x:c r="Q7" s="23" t="n">
        <x:v>44385</x:v>
      </x:c>
      <x:c r="R7" s="23"/>
      <x:c r="S7" s="11" t="str">
        <x:v>source_checked</x:v>
      </x:c>
      <x:c r="T7" s="11" t="str">
        <x:v>AI extraction; professional review pending</x:v>
      </x:c>
      <x:c r="U7" s="23" t="n">
        <x:v>46314</x:v>
      </x:c>
      <x:c r="V7" s="11" t="str">
        <x:v>pending</x:v>
      </x:c>
      <x:c r="W7" s="24" t="b">
        <x:v>0</x:v>
      </x:c>
      <x:c r="X7" s="11" t="str">
        <x:v>{"scope_review_required":true,"entity":"public_condominium_and_all_other_stairs","parameter":"clear_headroom","comparison":"&gt;=","threshold":2.1,"unit":"m","condition_text":"Apply correct category; do not use 750 mm for every staircase"}</x:v>
      </x:c>
      <x:c r="Y7" s="11" t="str"/>
    </x:row>
    <x:row r="8" ht="84" customHeight="1">
      <x:c r="A8" s="8" t="str">
        <x:v>BM_0035</x:v>
      </x:c>
      <x:c r="B8" s="8" t="str">
        <x:v>Stairs</x:v>
      </x:c>
      <x:c r="C8" s="8" t="str">
        <x:v>public_condominium_and_all_other_stairs</x:v>
      </x:c>
      <x:c r="D8" s="8" t="str">
        <x:v>riser</x:v>
      </x:c>
      <x:c r="E8" s="8" t="str">
        <x:v>&lt;=</x:v>
      </x:c>
      <x:c r="F8" s="10" t="n">
        <x:v>150</x:v>
      </x:c>
      <x:c r="G8" s="8" t="str">
        <x:v>mm</x:v>
      </x:c>
      <x:c r="H8" s="8" t="str">
        <x:v>Apply correct category; do not use 750 mm for every staircase</x:v>
      </x:c>
      <x:c r="I8" s="8" t="str">
        <x:v>regulation</x:v>
      </x:c>
      <x:c r="J8" s="8" t="str">
        <x:v>hard</x:v>
      </x:c>
      <x:c r="K8" s="8" t="str">
        <x:v>SRC_0001</x:v>
      </x:c>
      <x:c r="L8" s="8" t="str">
        <x:v>2235-54_E.pdf</x:v>
      </x:c>
      <x:c r="M8" s="8" t="str">
        <x:v>Schedule 8; 68(1)</x:v>
      </x:c>
      <x:c r="N8" s="18" t="n">
        <x:v>123</x:v>
      </x:c>
      <x:c r="O8" s="8" t="str">
        <x:v>123A</x:v>
      </x:c>
      <x:c r="P8" s="8" t="str">
        <x:v>Sri Lanka declared Urban Development Areas; site/local-plan applicability and later amendments pending</x:v>
      </x:c>
      <x:c r="Q8" s="20" t="n">
        <x:v>44385</x:v>
      </x:c>
      <x:c r="R8" s="20"/>
      <x:c r="S8" s="8" t="str">
        <x:v>source_checked</x:v>
      </x:c>
      <x:c r="T8" s="8" t="str">
        <x:v>AI extraction; professional review pending</x:v>
      </x:c>
      <x:c r="U8" s="20" t="n">
        <x:v>46314</x:v>
      </x:c>
      <x:c r="V8" s="8" t="str">
        <x:v>pending</x:v>
      </x:c>
      <x:c r="W8" s="21" t="b">
        <x:v>0</x:v>
      </x:c>
      <x:c r="X8" s="8" t="str">
        <x:v>{"scope_review_required":true,"entity":"public_condominium_and_all_other_stairs","parameter":"riser","comparison":"&lt;=","threshold":150,"unit":"mm","condition_text":"Apply correct category; do not use 750 mm for every staircase"}</x:v>
      </x:c>
      <x:c r="Y8" s="8" t="str"/>
    </x:row>
    <x:row r="9" ht="84" customHeight="1">
      <x:c r="A9" s="11" t="str">
        <x:v>BM_0036</x:v>
      </x:c>
      <x:c r="B9" s="11" t="str">
        <x:v>Stairs</x:v>
      </x:c>
      <x:c r="C9" s="11" t="str">
        <x:v>public_condominium_and_all_other_stairs</x:v>
      </x:c>
      <x:c r="D9" s="11" t="str">
        <x:v>tread</x:v>
      </x:c>
      <x:c r="E9" s="11" t="str">
        <x:v>&gt;=</x:v>
      </x:c>
      <x:c r="F9" s="12" t="n">
        <x:v>300</x:v>
      </x:c>
      <x:c r="G9" s="11" t="str">
        <x:v>mm</x:v>
      </x:c>
      <x:c r="H9" s="11" t="str">
        <x:v>Apply correct category; do not use 750 mm for every staircase</x:v>
      </x:c>
      <x:c r="I9" s="11" t="str">
        <x:v>regulation</x:v>
      </x:c>
      <x:c r="J9" s="11" t="str">
        <x:v>hard</x:v>
      </x:c>
      <x:c r="K9" s="11" t="str">
        <x:v>SRC_0001</x:v>
      </x:c>
      <x:c r="L9" s="11" t="str">
        <x:v>2235-54_E.pdf</x:v>
      </x:c>
      <x:c r="M9" s="11" t="str">
        <x:v>Schedule 8; 68(1)</x:v>
      </x:c>
      <x:c r="N9" s="22" t="n">
        <x:v>123</x:v>
      </x:c>
      <x:c r="O9" s="11" t="str">
        <x:v>123A</x:v>
      </x:c>
      <x:c r="P9" s="11" t="str">
        <x:v>Sri Lanka declared Urban Development Areas; site/local-plan applicability and later amendments pending</x:v>
      </x:c>
      <x:c r="Q9" s="23" t="n">
        <x:v>44385</x:v>
      </x:c>
      <x:c r="R9" s="23"/>
      <x:c r="S9" s="11" t="str">
        <x:v>source_checked</x:v>
      </x:c>
      <x:c r="T9" s="11" t="str">
        <x:v>AI extraction; professional review pending</x:v>
      </x:c>
      <x:c r="U9" s="23" t="n">
        <x:v>46314</x:v>
      </x:c>
      <x:c r="V9" s="11" t="str">
        <x:v>pending</x:v>
      </x:c>
      <x:c r="W9" s="24" t="b">
        <x:v>0</x:v>
      </x:c>
      <x:c r="X9" s="11" t="str">
        <x:v>{"scope_review_required":true,"entity":"public_condominium_and_all_other_stairs","parameter":"tread","comparison":"&gt;=","threshold":300,"unit":"mm","condition_text":"Apply correct category; do not use 750 mm for every staircase"}</x:v>
      </x:c>
      <x:c r="Y9" s="11" t="str"/>
    </x:row>
    <x:row r="10" ht="70" customHeight="1">
      <x:c r="A10" s="8" t="str">
        <x:v>BM_0037</x:v>
      </x:c>
      <x:c r="B10" s="8" t="str">
        <x:v>Stairs</x:v>
      </x:c>
      <x:c r="C10" s="8" t="str">
        <x:v>non_public_building</x:v>
      </x:c>
      <x:c r="D10" s="8" t="str">
        <x:v>handrail_height</x:v>
      </x:c>
      <x:c r="E10" s="8" t="str">
        <x:v>&gt;=</x:v>
      </x:c>
      <x:c r="F10" s="10" t="n">
        <x:v>1</x:v>
      </x:c>
      <x:c r="G10" s="8" t="str">
        <x:v>m</x:v>
      </x:c>
      <x:c r="H10" s="8" t="str">
        <x:v>building is not public</x:v>
      </x:c>
      <x:c r="I10" s="8" t="str">
        <x:v>regulation</x:v>
      </x:c>
      <x:c r="J10" s="8" t="str">
        <x:v>hard</x:v>
      </x:c>
      <x:c r="K10" s="8" t="str">
        <x:v>SRC_0001</x:v>
      </x:c>
      <x:c r="L10" s="8" t="str">
        <x:v>2235-54_E.pdf</x:v>
      </x:c>
      <x:c r="M10" s="8" t="str">
        <x:v>68(2)</x:v>
      </x:c>
      <x:c r="N10" s="18" t="n">
        <x:v>20</x:v>
      </x:c>
      <x:c r="O10" s="8" t="str">
        <x:v>20A</x:v>
      </x:c>
      <x:c r="P10" s="8" t="str">
        <x:v>Sri Lanka declared Urban Development Areas; site/local-plan applicability and later amendments pending</x:v>
      </x:c>
      <x:c r="Q10" s="20" t="n">
        <x:v>44385</x:v>
      </x:c>
      <x:c r="R10" s="20"/>
      <x:c r="S10" s="8" t="str">
        <x:v>source_checked</x:v>
      </x:c>
      <x:c r="T10" s="8" t="str">
        <x:v>AI extraction; professional review pending</x:v>
      </x:c>
      <x:c r="U10" s="20" t="n">
        <x:v>46314</x:v>
      </x:c>
      <x:c r="V10" s="8" t="str">
        <x:v>pending</x:v>
      </x:c>
      <x:c r="W10" s="21" t="b">
        <x:v>0</x:v>
      </x:c>
      <x:c r="X10" s="8" t="str">
        <x:v>{"scope_review_required":true,"entity":"non_public_building","parameter":"handrail_height","comparison":"&gt;=","threshold":1,"unit":"m","condition_text":"building is not public"}</x:v>
      </x:c>
      <x:c r="Y10" s="8" t="str"/>
    </x:row>
    <x:row r="11" ht="70" customHeight="1">
      <x:c r="A11" s="11" t="str">
        <x:v>BM_0038</x:v>
      </x:c>
      <x:c r="B11" s="11" t="str">
        <x:v>Stairs</x:v>
      </x:c>
      <x:c r="C11" s="11" t="str">
        <x:v>public_building</x:v>
      </x:c>
      <x:c r="D11" s="11" t="str">
        <x:v>handrail_height</x:v>
      </x:c>
      <x:c r="E11" s="11" t="str">
        <x:v>&gt;=</x:v>
      </x:c>
      <x:c r="F11" s="12" t="n">
        <x:v>1.1</x:v>
      </x:c>
      <x:c r="G11" s="11" t="str">
        <x:v>m</x:v>
      </x:c>
      <x:c r="H11" s="11" t="str">
        <x:v>building is public</x:v>
      </x:c>
      <x:c r="I11" s="11" t="str">
        <x:v>regulation</x:v>
      </x:c>
      <x:c r="J11" s="11" t="str">
        <x:v>hard</x:v>
      </x:c>
      <x:c r="K11" s="11" t="str">
        <x:v>SRC_0001</x:v>
      </x:c>
      <x:c r="L11" s="11" t="str">
        <x:v>2235-54_E.pdf</x:v>
      </x:c>
      <x:c r="M11" s="11" t="str">
        <x:v>68(2)</x:v>
      </x:c>
      <x:c r="N11" s="22" t="n">
        <x:v>20</x:v>
      </x:c>
      <x:c r="O11" s="11" t="str">
        <x:v>20A</x:v>
      </x:c>
      <x:c r="P11" s="11" t="str">
        <x:v>Sri Lanka declared Urban Development Areas; site/local-plan applicability and later amendments pending</x:v>
      </x:c>
      <x:c r="Q11" s="23" t="n">
        <x:v>44385</x:v>
      </x:c>
      <x:c r="R11" s="23"/>
      <x:c r="S11" s="11" t="str">
        <x:v>source_checked</x:v>
      </x:c>
      <x:c r="T11" s="11" t="str">
        <x:v>AI extraction; professional review pending</x:v>
      </x:c>
      <x:c r="U11" s="23" t="n">
        <x:v>46314</x:v>
      </x:c>
      <x:c r="V11" s="11" t="str">
        <x:v>pending</x:v>
      </x:c>
      <x:c r="W11" s="24" t="b">
        <x:v>0</x:v>
      </x:c>
      <x:c r="X11" s="11" t="str">
        <x:v>{"scope_review_required":true,"entity":"public_building","parameter":"handrail_height","comparison":"&gt;=","threshold":1.1,"unit":"m","condition_text":"building is public"}</x:v>
      </x:c>
      <x:c r="Y11" s="11" t="str"/>
    </x:row>
  </x:sheetData>
  <x:conditionalFormatting sqref="S2:S11">
    <x:cfRule type="containsText" dxfId="4" priority="1" operator="containsText" text="pending"/>
    <x:cfRule type="containsText" dxfId="5" priority="2" operator="containsText" text="conflict"/>
  </x:conditionalFormatting>
  <x:conditionalFormatting sqref="V2:V11">
    <x:cfRule type="containsText" dxfId="6" priority="3" operator="containsText" text="pending"/>
    <x:cfRule type="containsText" dxfId="7" priority="4" operator="containsText" text="conflict"/>
  </x:conditionalFormatting>
  <x:pageMargins left="0.7" right="0.7" top="0.75" bottom="0.75" header="0.3" footer="0.3"/>
  <x:tableParts count="1">
    <x:tablePart xmlns:r="http://schemas.openxmlformats.org/officeDocument/2006/relationships" r:id="Rc9c541c127b84748"/>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32" hidden="0" customWidth="1"/>
    <x:col min="4" max="4" width="32" hidden="0" customWidth="1"/>
    <x:col min="5" max="5" width="22" hidden="0" customWidth="1"/>
    <x:col min="6" max="6" width="22" hidden="0" customWidth="1"/>
    <x:col min="7" max="7" width="22" hidden="0" customWidth="1"/>
    <x:col min="8" max="8" width="62" hidden="0" customWidth="1"/>
    <x:col min="9" max="9" width="22" hidden="0" customWidth="1"/>
    <x:col min="10" max="10" width="22" hidden="0" customWidth="1"/>
    <x:col min="11" max="11" width="22" hidden="0" customWidth="1"/>
    <x:col min="12" max="12" width="32" hidden="0" customWidth="1"/>
    <x:col min="13" max="13" width="32" hidden="0" customWidth="1"/>
    <x:col min="14" max="14" width="22" hidden="0" customWidth="1"/>
    <x:col min="15" max="15" width="22" hidden="0" customWidth="1"/>
    <x:col min="16" max="16" width="32" hidden="0" customWidth="1"/>
    <x:col min="17" max="17" width="22" hidden="0" customWidth="1"/>
    <x:col min="18" max="18" width="22" hidden="0" customWidth="1"/>
    <x:col min="19" max="19" width="32" hidden="0" customWidth="1"/>
    <x:col min="20" max="20" width="32" hidden="0" customWidth="1"/>
    <x:col min="21" max="21" width="22" hidden="0" customWidth="1"/>
    <x:col min="22" max="22" width="22" hidden="0" customWidth="1"/>
    <x:col min="23" max="23" width="22" hidden="0" customWidth="1"/>
    <x:col min="24" max="24" width="62" hidden="0" customWidth="1"/>
    <x:col min="25" max="25" width="62" hidden="0" customWidth="1"/>
  </x:cols>
  <x:sheetData>
    <x:row r="1" ht="44" customHeight="1">
      <x:c r="A1" s="7" t="str">
        <x:v>rule_id</x:v>
      </x:c>
      <x:c r="B1" s="7" t="str">
        <x:v>category</x:v>
      </x:c>
      <x:c r="C1" s="7" t="str">
        <x:v>entity</x:v>
      </x:c>
      <x:c r="D1" s="7" t="str">
        <x:v>parameter</x:v>
      </x:c>
      <x:c r="E1" s="7" t="str">
        <x:v>operator</x:v>
      </x:c>
      <x:c r="F1" s="9" t="str">
        <x:v>value</x:v>
      </x:c>
      <x:c r="G1" s="7" t="str">
        <x:v>unit</x:v>
      </x:c>
      <x:c r="H1" s="7" t="str">
        <x:v>condition</x:v>
      </x:c>
      <x:c r="I1" s="7" t="str">
        <x:v>rule_type</x:v>
      </x:c>
      <x:c r="J1" s="7" t="str">
        <x:v>severity</x:v>
      </x:c>
      <x:c r="K1" s="7" t="str">
        <x:v>source_id</x:v>
      </x:c>
      <x:c r="L1" s="7" t="str">
        <x:v>source_document</x:v>
      </x:c>
      <x:c r="M1" s="7" t="str">
        <x:v>source_clause</x:v>
      </x:c>
      <x:c r="N1" s="17" t="str">
        <x:v>pdf_page</x:v>
      </x:c>
      <x:c r="O1" s="7" t="str">
        <x:v>printed_page</x:v>
      </x:c>
      <x:c r="P1" s="7" t="str">
        <x:v>jurisdiction</x:v>
      </x:c>
      <x:c r="Q1" s="19" t="str">
        <x:v>source_date</x:v>
      </x:c>
      <x:c r="R1" s="19" t="str">
        <x:v>effective_date</x:v>
      </x:c>
      <x:c r="S1" s="7" t="str">
        <x:v>verification_status</x:v>
      </x:c>
      <x:c r="T1" s="7" t="str">
        <x:v>verified_by</x:v>
      </x:c>
      <x:c r="U1" s="19" t="str">
        <x:v>checked_on</x:v>
      </x:c>
      <x:c r="V1" s="7" t="str">
        <x:v>applicability_status</x:v>
      </x:c>
      <x:c r="W1" s="7" t="str">
        <x:v>enable_in_production</x:v>
      </x:c>
      <x:c r="X1" s="7" t="str">
        <x:v>condition_json</x:v>
      </x:c>
      <x:c r="Y1" s="7" t="str">
        <x:v>notes</x:v>
      </x:c>
    </x:row>
    <x:row r="2" ht="84" customHeight="1">
      <x:c r="A2" s="8" t="str">
        <x:v>BM_0039</x:v>
      </x:c>
      <x:c r="B2" s="8" t="str">
        <x:v>Openings</x:v>
      </x:c>
      <x:c r="C2" s="8" t="str">
        <x:v>room</x:v>
      </x:c>
      <x:c r="D2" s="8" t="str">
        <x:v>natural_opening_area_to_floor_area</x:v>
      </x:c>
      <x:c r="E2" s="8" t="str">
        <x:v>&gt;=</x:v>
      </x:c>
      <x:c r="F2" s="10" t="n">
        <x:v>0.2</x:v>
      </x:c>
      <x:c r="G2" s="8" t="str">
        <x:v>ratio</x:v>
      </x:c>
      <x:c r="H2" s="8" t="str">
        <x:v>natural light and ventilation openings; read Regulations 70-72 together</x:v>
      </x:c>
      <x:c r="I2" s="8" t="str">
        <x:v>regulation</x:v>
      </x:c>
      <x:c r="J2" s="8" t="str">
        <x:v>hard</x:v>
      </x:c>
      <x:c r="K2" s="8" t="str">
        <x:v>SRC_0001</x:v>
      </x:c>
      <x:c r="L2" s="8" t="str">
        <x:v>2235-54_E.pdf</x:v>
      </x:c>
      <x:c r="M2" s="8" t="str">
        <x:v>70(3)</x:v>
      </x:c>
      <x:c r="N2" s="18" t="n">
        <x:v>21</x:v>
      </x:c>
      <x:c r="O2" s="8" t="str">
        <x:v>21A</x:v>
      </x:c>
      <x:c r="P2" s="8" t="str">
        <x:v>Sri Lanka declared Urban Development Areas; site/local-plan applicability and later amendments pending</x:v>
      </x:c>
      <x:c r="Q2" s="20" t="n">
        <x:v>44385</x:v>
      </x:c>
      <x:c r="R2" s="20"/>
      <x:c r="S2" s="8" t="str">
        <x:v>source_checked</x:v>
      </x:c>
      <x:c r="T2" s="8" t="str">
        <x:v>AI extraction; professional review pending</x:v>
      </x:c>
      <x:c r="U2" s="20" t="n">
        <x:v>46314</x:v>
      </x:c>
      <x:c r="V2" s="8" t="str">
        <x:v>pending</x:v>
      </x:c>
      <x:c r="W2" s="21" t="b">
        <x:v>0</x:v>
      </x:c>
      <x:c r="X2" s="8" t="str">
        <x:v>{"scope_review_required":true,"entity":"room","parameter":"natural_opening_area_to_floor_area","comparison":"&gt;=","threshold":0.2,"unit":"ratio","condition_text":"natural light and ventilation openings; read Regulations 70-72 together"}</x:v>
      </x:c>
      <x:c r="Y2" s="8" t="str"/>
    </x:row>
    <x:row r="3" ht="84" customHeight="1">
      <x:c r="A3" s="11" t="str">
        <x:v>BM_0040</x:v>
      </x:c>
      <x:c r="B3" s="11" t="str">
        <x:v>Openings</x:v>
      </x:c>
      <x:c r="C3" s="11" t="str">
        <x:v>room</x:v>
      </x:c>
      <x:c r="D3" s="11" t="str">
        <x:v>openable_fraction_of_openings</x:v>
      </x:c>
      <x:c r="E3" s="11" t="str">
        <x:v>&gt;=</x:v>
      </x:c>
      <x:c r="F3" s="12" t="n">
        <x:v>0.5</x:v>
      </x:c>
      <x:c r="G3" s="11" t="str">
        <x:v>ratio</x:v>
      </x:c>
      <x:c r="H3" s="11" t="str">
        <x:v>at least 50% of required openings/windows openable</x:v>
      </x:c>
      <x:c r="I3" s="11" t="str">
        <x:v>regulation</x:v>
      </x:c>
      <x:c r="J3" s="11" t="str">
        <x:v>hard</x:v>
      </x:c>
      <x:c r="K3" s="11" t="str">
        <x:v>SRC_0001</x:v>
      </x:c>
      <x:c r="L3" s="11" t="str">
        <x:v>2235-54_E.pdf</x:v>
      </x:c>
      <x:c r="M3" s="11" t="str">
        <x:v>70(3)</x:v>
      </x:c>
      <x:c r="N3" s="22" t="n">
        <x:v>21</x:v>
      </x:c>
      <x:c r="O3" s="11" t="str">
        <x:v>21A</x:v>
      </x:c>
      <x:c r="P3" s="11" t="str">
        <x:v>Sri Lanka declared Urban Development Areas; site/local-plan applicability and later amendments pending</x:v>
      </x:c>
      <x:c r="Q3" s="23" t="n">
        <x:v>44385</x:v>
      </x:c>
      <x:c r="R3" s="23"/>
      <x:c r="S3" s="11" t="str">
        <x:v>source_checked</x:v>
      </x:c>
      <x:c r="T3" s="11" t="str">
        <x:v>AI extraction; professional review pending</x:v>
      </x:c>
      <x:c r="U3" s="23" t="n">
        <x:v>46314</x:v>
      </x:c>
      <x:c r="V3" s="11" t="str">
        <x:v>pending</x:v>
      </x:c>
      <x:c r="W3" s="24" t="b">
        <x:v>0</x:v>
      </x:c>
      <x:c r="X3" s="11" t="str">
        <x:v>{"scope_review_required":true,"entity":"room","parameter":"openable_fraction_of_openings","comparison":"&gt;=","threshold":0.5,"unit":"ratio","condition_text":"at least 50% of required openings/windows openable"}</x:v>
      </x:c>
      <x:c r="Y3" s="11" t="str"/>
    </x:row>
    <x:row r="4" ht="84" customHeight="1">
      <x:c r="A4" s="8" t="str">
        <x:v>BM_0041</x:v>
      </x:c>
      <x:c r="B4" s="8" t="str">
        <x:v>Openings</x:v>
      </x:c>
      <x:c r="C4" s="8" t="str">
        <x:v>room</x:v>
      </x:c>
      <x:c r="D4" s="8" t="str">
        <x:v>opening_destination</x:v>
      </x:c>
      <x:c r="E4" s="8" t="str">
        <x:v>in</x:v>
      </x:c>
      <x:c r="F4" s="10"/>
      <x:c r="G4" s="8" t="str">
        <x:v>category</x:v>
      </x:c>
      <x:c r="H4" s="8" t="str">
        <x:v>open to sky OR right-of-way public road/street OR internal courtyard/open space/air well</x:v>
      </x:c>
      <x:c r="I4" s="8" t="str">
        <x:v>regulation</x:v>
      </x:c>
      <x:c r="J4" s="8" t="str">
        <x:v>hard</x:v>
      </x:c>
      <x:c r="K4" s="8" t="str">
        <x:v>SRC_0001</x:v>
      </x:c>
      <x:c r="L4" s="8" t="str">
        <x:v>2235-54_E.pdf</x:v>
      </x:c>
      <x:c r="M4" s="8" t="str">
        <x:v>70(4)</x:v>
      </x:c>
      <x:c r="N4" s="18" t="n">
        <x:v>21</x:v>
      </x:c>
      <x:c r="O4" s="8" t="str">
        <x:v>21A</x:v>
      </x:c>
      <x:c r="P4" s="8" t="str">
        <x:v>Sri Lanka declared Urban Development Areas; site/local-plan applicability and later amendments pending</x:v>
      </x:c>
      <x:c r="Q4" s="20" t="n">
        <x:v>44385</x:v>
      </x:c>
      <x:c r="R4" s="20"/>
      <x:c r="S4" s="8" t="str">
        <x:v>source_checked</x:v>
      </x:c>
      <x:c r="T4" s="8" t="str">
        <x:v>AI extraction; professional review pending</x:v>
      </x:c>
      <x:c r="U4" s="20" t="n">
        <x:v>46314</x:v>
      </x:c>
      <x:c r="V4" s="8" t="str">
        <x:v>pending</x:v>
      </x:c>
      <x:c r="W4" s="21" t="b">
        <x:v>0</x:v>
      </x:c>
      <x:c r="X4" s="8" t="str">
        <x:v>{"scope_review_required":true,"entity":"room","parameter":"opening_destination","comparison":"in","threshold":null,"unit":"category","condition_text":"open to sky OR right-of-way public road/street OR internal courtyard/open space/air well"}</x:v>
      </x:c>
      <x:c r="Y4" s="8" t="str">
        <x:v>No arbitrary north-facing mandate is inferred.</x:v>
      </x:c>
    </x:row>
    <x:row r="5" ht="98" customHeight="1">
      <x:c r="A5" s="11" t="str">
        <x:v>BM_0042</x:v>
      </x:c>
      <x:c r="B5" s="11" t="str">
        <x:v>Openings</x:v>
      </x:c>
      <x:c r="C5" s="11" t="str">
        <x:v>non_factory_warehouse_room</x:v>
      </x:c>
      <x:c r="D5" s="11" t="str">
        <x:v>perpendicular_distance_from_opening</x:v>
      </x:c>
      <x:c r="E5" s="11" t="str">
        <x:v>&lt;=</x:v>
      </x:c>
      <x:c r="F5" s="12" t="n">
        <x:v>10</x:v>
      </x:c>
      <x:c r="G5" s="11" t="str">
        <x:v>m</x:v>
      </x:c>
      <x:c r="H5" s="11" t="str">
        <x:v>building other than 70(5) factory/workshop/warehouse without regular habitation</x:v>
      </x:c>
      <x:c r="I5" s="11" t="str">
        <x:v>regulation</x:v>
      </x:c>
      <x:c r="J5" s="11" t="str">
        <x:v>hard</x:v>
      </x:c>
      <x:c r="K5" s="11" t="str">
        <x:v>SRC_0001</x:v>
      </x:c>
      <x:c r="L5" s="11" t="str">
        <x:v>2235-54_E.pdf</x:v>
      </x:c>
      <x:c r="M5" s="11" t="str">
        <x:v>70(6)</x:v>
      </x:c>
      <x:c r="N5" s="22" t="n">
        <x:v>21</x:v>
      </x:c>
      <x:c r="O5" s="11" t="str">
        <x:v>21A</x:v>
      </x:c>
      <x:c r="P5" s="11" t="str">
        <x:v>Sri Lanka declared Urban Development Areas; site/local-plan applicability and later amendments pending</x:v>
      </x:c>
      <x:c r="Q5" s="23" t="n">
        <x:v>44385</x:v>
      </x:c>
      <x:c r="R5" s="23"/>
      <x:c r="S5" s="11" t="str">
        <x:v>source_checked</x:v>
      </x:c>
      <x:c r="T5" s="11" t="str">
        <x:v>AI extraction; professional review pending</x:v>
      </x:c>
      <x:c r="U5" s="23" t="n">
        <x:v>46314</x:v>
      </x:c>
      <x:c r="V5" s="11" t="str">
        <x:v>pending</x:v>
      </x:c>
      <x:c r="W5" s="24" t="b">
        <x:v>0</x:v>
      </x:c>
      <x:c r="X5" s="11" t="str">
        <x:v>{"scope_review_required":true,"entity":"non_factory_warehouse_room","parameter":"perpendicular_distance_from_opening","comparison":"&lt;=","threshold":10,"unit":"m","condition_text":"building other than 70(5) factory/workshop/warehouse without regular habitation"}</x:v>
      </x:c>
      <x:c r="Y5" s="11" t="str"/>
    </x:row>
    <x:row r="6" ht="98" customHeight="1">
      <x:c r="A6" s="8" t="str">
        <x:v>BM_0043</x:v>
      </x:c>
      <x:c r="B6" s="8" t="str">
        <x:v>Openings</x:v>
      </x:c>
      <x:c r="C6" s="8" t="str">
        <x:v>non_factory_warehouse_room</x:v>
      </x:c>
      <x:c r="D6" s="8" t="str">
        <x:v>parallel_distance_from_opening_edge</x:v>
      </x:c>
      <x:c r="E6" s="8" t="str">
        <x:v>&lt;=</x:v>
      </x:c>
      <x:c r="F6" s="10" t="n">
        <x:v>3</x:v>
      </x:c>
      <x:c r="G6" s="8" t="str">
        <x:v>m</x:v>
      </x:c>
      <x:c r="H6" s="8" t="str">
        <x:v>building other than 70(5) factory/workshop/warehouse without regular habitation</x:v>
      </x:c>
      <x:c r="I6" s="8" t="str">
        <x:v>regulation</x:v>
      </x:c>
      <x:c r="J6" s="8" t="str">
        <x:v>hard</x:v>
      </x:c>
      <x:c r="K6" s="8" t="str">
        <x:v>SRC_0001</x:v>
      </x:c>
      <x:c r="L6" s="8" t="str">
        <x:v>2235-54_E.pdf</x:v>
      </x:c>
      <x:c r="M6" s="8" t="str">
        <x:v>70(6)</x:v>
      </x:c>
      <x:c r="N6" s="18" t="n">
        <x:v>21</x:v>
      </x:c>
      <x:c r="O6" s="8" t="str">
        <x:v>21A</x:v>
      </x:c>
      <x:c r="P6" s="8" t="str">
        <x:v>Sri Lanka declared Urban Development Areas; site/local-plan applicability and later amendments pending</x:v>
      </x:c>
      <x:c r="Q6" s="20" t="n">
        <x:v>44385</x:v>
      </x:c>
      <x:c r="R6" s="20"/>
      <x:c r="S6" s="8" t="str">
        <x:v>source_checked</x:v>
      </x:c>
      <x:c r="T6" s="8" t="str">
        <x:v>AI extraction; professional review pending</x:v>
      </x:c>
      <x:c r="U6" s="20" t="n">
        <x:v>46314</x:v>
      </x:c>
      <x:c r="V6" s="8" t="str">
        <x:v>pending</x:v>
      </x:c>
      <x:c r="W6" s="21" t="b">
        <x:v>0</x:v>
      </x:c>
      <x:c r="X6" s="8" t="str">
        <x:v>{"scope_review_required":true,"entity":"non_factory_warehouse_room","parameter":"parallel_distance_from_opening_edge","comparison":"&lt;=","threshold":3,"unit":"m","condition_text":"building other than 70(5) factory/workshop/warehouse without regular habitation"}</x:v>
      </x:c>
      <x:c r="Y6" s="8" t="str"/>
    </x:row>
    <x:row r="7" ht="84" customHeight="1">
      <x:c r="A7" s="11" t="str">
        <x:v>BM_0044</x:v>
      </x:c>
      <x:c r="B7" s="11" t="str">
        <x:v>Openings</x:v>
      </x:c>
      <x:c r="C7" s="11" t="str">
        <x:v>room_via_balcony_veranda_porch</x:v>
      </x:c>
      <x:c r="D7" s="11" t="str">
        <x:v>depth_from_outer_enclosure</x:v>
      </x:c>
      <x:c r="E7" s="11" t="str">
        <x:v>&lt;=</x:v>
      </x:c>
      <x:c r="F7" s="12" t="n">
        <x:v>10</x:v>
      </x:c>
      <x:c r="G7" s="11" t="str">
        <x:v>m</x:v>
      </x:c>
      <x:c r="H7" s="11" t="str">
        <x:v>natural source opens upon balcony/veranda/porch</x:v>
      </x:c>
      <x:c r="I7" s="11" t="str">
        <x:v>regulation</x:v>
      </x:c>
      <x:c r="J7" s="11" t="str">
        <x:v>hard</x:v>
      </x:c>
      <x:c r="K7" s="11" t="str">
        <x:v>SRC_0001</x:v>
      </x:c>
      <x:c r="L7" s="11" t="str">
        <x:v>2235-54_E.pdf</x:v>
      </x:c>
      <x:c r="M7" s="11" t="str">
        <x:v>70(7)(a)</x:v>
      </x:c>
      <x:c r="N7" s="22" t="n">
        <x:v>21</x:v>
      </x:c>
      <x:c r="O7" s="11" t="str">
        <x:v>21A</x:v>
      </x:c>
      <x:c r="P7" s="11" t="str">
        <x:v>Sri Lanka declared Urban Development Areas; site/local-plan applicability and later amendments pending</x:v>
      </x:c>
      <x:c r="Q7" s="23" t="n">
        <x:v>44385</x:v>
      </x:c>
      <x:c r="R7" s="23"/>
      <x:c r="S7" s="11" t="str">
        <x:v>source_checked</x:v>
      </x:c>
      <x:c r="T7" s="11" t="str">
        <x:v>AI extraction; professional review pending</x:v>
      </x:c>
      <x:c r="U7" s="23" t="n">
        <x:v>46314</x:v>
      </x:c>
      <x:c r="V7" s="11" t="str">
        <x:v>pending</x:v>
      </x:c>
      <x:c r="W7" s="24" t="b">
        <x:v>0</x:v>
      </x:c>
      <x:c r="X7" s="11" t="str">
        <x:v>{"scope_review_required":true,"entity":"room_via_balcony_veranda_porch","parameter":"depth_from_outer_enclosure","comparison":"&lt;=","threshold":10,"unit":"m","condition_text":"natural source opens upon balcony/veranda/porch"}</x:v>
      </x:c>
      <x:c r="Y7" s="11" t="str"/>
    </x:row>
    <x:row r="8" ht="84" customHeight="1">
      <x:c r="A8" s="8" t="str">
        <x:v>BM_0045</x:v>
      </x:c>
      <x:c r="B8" s="8" t="str">
        <x:v>Openings</x:v>
      </x:c>
      <x:c r="C8" s="8" t="str">
        <x:v>balcony_veranda_porch</x:v>
      </x:c>
      <x:c r="D8" s="8" t="str">
        <x:v>front_open_height_fraction</x:v>
      </x:c>
      <x:c r="E8" s="8" t="str">
        <x:v>&gt;=</x:v>
      </x:c>
      <x:c r="F8" s="10" t="n">
        <x:v>0.75</x:v>
      </x:c>
      <x:c r="G8" s="8" t="str">
        <x:v>ratio</x:v>
      </x:c>
      <x:c r="H8" s="8" t="str">
        <x:v>space serving room through natural light/ventilation sources</x:v>
      </x:c>
      <x:c r="I8" s="8" t="str">
        <x:v>regulation</x:v>
      </x:c>
      <x:c r="J8" s="8" t="str">
        <x:v>hard</x:v>
      </x:c>
      <x:c r="K8" s="8" t="str">
        <x:v>SRC_0001</x:v>
      </x:c>
      <x:c r="L8" s="8" t="str">
        <x:v>2235-54_E.pdf</x:v>
      </x:c>
      <x:c r="M8" s="8" t="str">
        <x:v>70(7)(b)</x:v>
      </x:c>
      <x:c r="N8" s="18" t="n">
        <x:v>22</x:v>
      </x:c>
      <x:c r="O8" s="8" t="str">
        <x:v>22A</x:v>
      </x:c>
      <x:c r="P8" s="8" t="str">
        <x:v>Sri Lanka declared Urban Development Areas; site/local-plan applicability and later amendments pending</x:v>
      </x:c>
      <x:c r="Q8" s="20" t="n">
        <x:v>44385</x:v>
      </x:c>
      <x:c r="R8" s="20"/>
      <x:c r="S8" s="8" t="str">
        <x:v>source_checked</x:v>
      </x:c>
      <x:c r="T8" s="8" t="str">
        <x:v>AI extraction; professional review pending</x:v>
      </x:c>
      <x:c r="U8" s="20" t="n">
        <x:v>46314</x:v>
      </x:c>
      <x:c r="V8" s="8" t="str">
        <x:v>pending</x:v>
      </x:c>
      <x:c r="W8" s="21" t="b">
        <x:v>0</x:v>
      </x:c>
      <x:c r="X8" s="8" t="str">
        <x:v>{"scope_review_required":true,"entity":"balcony_veranda_porch","parameter":"front_open_height_fraction","comparison":"&gt;=","threshold":0.75,"unit":"ratio","condition_text":"space serving room through natural light/ventilation sources"}</x:v>
      </x:c>
      <x:c r="Y8" s="8" t="str"/>
    </x:row>
    <x:row r="9" ht="84" customHeight="1">
      <x:c r="A9" s="11" t="str">
        <x:v>BM_0046</x:v>
      </x:c>
      <x:c r="B9" s="11" t="str">
        <x:v>Openings</x:v>
      </x:c>
      <x:c r="C9" s="11" t="str">
        <x:v>bathroom_toilet_wc</x:v>
      </x:c>
      <x:c r="D9" s="11" t="str">
        <x:v>opening_to_opposite_boundary</x:v>
      </x:c>
      <x:c r="E9" s="11" t="str">
        <x:v>&gt;=</x:v>
      </x:c>
      <x:c r="F9" s="12" t="n">
        <x:v>1</x:v>
      </x:c>
      <x:c r="G9" s="11" t="str">
        <x:v>m</x:v>
      </x:c>
      <x:c r="H9" s="11" t="str">
        <x:v>natural light/ventilation opening</x:v>
      </x:c>
      <x:c r="I9" s="11" t="str">
        <x:v>regulation</x:v>
      </x:c>
      <x:c r="J9" s="11" t="str">
        <x:v>hard</x:v>
      </x:c>
      <x:c r="K9" s="11" t="str">
        <x:v>SRC_0001</x:v>
      </x:c>
      <x:c r="L9" s="11" t="str">
        <x:v>2235-54_E.pdf</x:v>
      </x:c>
      <x:c r="M9" s="11" t="str">
        <x:v>71(5)</x:v>
      </x:c>
      <x:c r="N9" s="22" t="n">
        <x:v>22</x:v>
      </x:c>
      <x:c r="O9" s="11" t="str">
        <x:v>22A</x:v>
      </x:c>
      <x:c r="P9" s="11" t="str">
        <x:v>Sri Lanka declared Urban Development Areas; site/local-plan applicability and later amendments pending</x:v>
      </x:c>
      <x:c r="Q9" s="23" t="n">
        <x:v>44385</x:v>
      </x:c>
      <x:c r="R9" s="23"/>
      <x:c r="S9" s="11" t="str">
        <x:v>source_checked</x:v>
      </x:c>
      <x:c r="T9" s="11" t="str">
        <x:v>AI extraction; professional review pending</x:v>
      </x:c>
      <x:c r="U9" s="23" t="n">
        <x:v>46314</x:v>
      </x:c>
      <x:c r="V9" s="11" t="str">
        <x:v>pending</x:v>
      </x:c>
      <x:c r="W9" s="24" t="b">
        <x:v>0</x:v>
      </x:c>
      <x:c r="X9" s="11" t="str">
        <x:v>{"scope_review_required":true,"entity":"bathroom_toilet_wc","parameter":"opening_to_opposite_boundary","comparison":"&gt;=","threshold":1,"unit":"m","condition_text":"natural light/ventilation opening"}</x:v>
      </x:c>
      <x:c r="Y9" s="11" t="str"/>
    </x:row>
    <x:row r="10" ht="84" customHeight="1">
      <x:c r="A10" s="8" t="str">
        <x:v>BM_0047</x:v>
      </x:c>
      <x:c r="B10" s="8" t="str">
        <x:v>Openings</x:v>
      </x:c>
      <x:c r="C10" s="8" t="str">
        <x:v>enclosed_stair_corridor_lobby</x:v>
      </x:c>
      <x:c r="D10" s="8" t="str">
        <x:v>natural_opening_rule</x:v>
      </x:c>
      <x:c r="E10" s="8" t="str">
        <x:v>reference</x:v>
      </x:c>
      <x:c r="F10" s="10"/>
      <x:c r="G10" s="8" t="str">
        <x:v>reference</x:v>
      </x:c>
      <x:c r="H10" s="8" t="str">
        <x:v>unless otherwise specified in fire code; apply 70(3)</x:v>
      </x:c>
      <x:c r="I10" s="8" t="str">
        <x:v>regulation</x:v>
      </x:c>
      <x:c r="J10" s="8" t="str">
        <x:v>hard</x:v>
      </x:c>
      <x:c r="K10" s="8" t="str">
        <x:v>SRC_0001</x:v>
      </x:c>
      <x:c r="L10" s="8" t="str">
        <x:v>2235-54_E.pdf</x:v>
      </x:c>
      <x:c r="M10" s="8" t="str">
        <x:v>71(6)</x:v>
      </x:c>
      <x:c r="N10" s="18" t="n">
        <x:v>22</x:v>
      </x:c>
      <x:c r="O10" s="8" t="str">
        <x:v>22A</x:v>
      </x:c>
      <x:c r="P10" s="8" t="str">
        <x:v>Sri Lanka declared Urban Development Areas; site/local-plan applicability and later amendments pending</x:v>
      </x:c>
      <x:c r="Q10" s="20" t="n">
        <x:v>44385</x:v>
      </x:c>
      <x:c r="R10" s="20"/>
      <x:c r="S10" s="8" t="str">
        <x:v>source_checked</x:v>
      </x:c>
      <x:c r="T10" s="8" t="str">
        <x:v>AI extraction; professional review pending</x:v>
      </x:c>
      <x:c r="U10" s="20" t="n">
        <x:v>46314</x:v>
      </x:c>
      <x:c r="V10" s="8" t="str">
        <x:v>pending</x:v>
      </x:c>
      <x:c r="W10" s="21" t="b">
        <x:v>0</x:v>
      </x:c>
      <x:c r="X10" s="8" t="str">
        <x:v>{"scope_review_required":true,"entity":"enclosed_stair_corridor_lobby","parameter":"natural_opening_rule","comparison":"reference","threshold":null,"unit":"reference","condition_text":"unless otherwise specified in fire code; apply 70(3)"}</x:v>
      </x:c>
      <x:c r="Y10" s="8" t="str"/>
    </x:row>
    <x:row r="11" ht="84" customHeight="1">
      <x:c r="A11" s="11" t="str">
        <x:v>BM_0048</x:v>
      </x:c>
      <x:c r="B11" s="11" t="str">
        <x:v>Openings</x:v>
      </x:c>
      <x:c r="C11" s="11" t="str">
        <x:v>terrace_house</x:v>
      </x:c>
      <x:c r="D11" s="11" t="str">
        <x:v>net_vent_area</x:v>
      </x:c>
      <x:c r="E11" s="11" t="str">
        <x:v>&gt;=</x:v>
      </x:c>
      <x:c r="F11" s="12" t="n">
        <x:v>0.5</x:v>
      </x:c>
      <x:c r="G11" s="11" t="str">
        <x:v>m2</x:v>
      </x:c>
      <x:c r="H11" s="11" t="str">
        <x:v>terrace house depth &gt;12 m; permanent front-to-rear ventilation at each floor</x:v>
      </x:c>
      <x:c r="I11" s="11" t="str">
        <x:v>regulation</x:v>
      </x:c>
      <x:c r="J11" s="11" t="str">
        <x:v>hard</x:v>
      </x:c>
      <x:c r="K11" s="11" t="str">
        <x:v>SRC_0001</x:v>
      </x:c>
      <x:c r="L11" s="11" t="str">
        <x:v>2235-54_E.pdf</x:v>
      </x:c>
      <x:c r="M11" s="11" t="str">
        <x:v>71(7)</x:v>
      </x:c>
      <x:c r="N11" s="22" t="n">
        <x:v>22</x:v>
      </x:c>
      <x:c r="O11" s="11" t="str">
        <x:v>22A</x:v>
      </x:c>
      <x:c r="P11" s="11" t="str">
        <x:v>Sri Lanka declared Urban Development Areas; site/local-plan applicability and later amendments pending</x:v>
      </x:c>
      <x:c r="Q11" s="23" t="n">
        <x:v>44385</x:v>
      </x:c>
      <x:c r="R11" s="23"/>
      <x:c r="S11" s="11" t="str">
        <x:v>source_checked</x:v>
      </x:c>
      <x:c r="T11" s="11" t="str">
        <x:v>AI extraction; professional review pending</x:v>
      </x:c>
      <x:c r="U11" s="23" t="n">
        <x:v>46314</x:v>
      </x:c>
      <x:c r="V11" s="11" t="str">
        <x:v>pending</x:v>
      </x:c>
      <x:c r="W11" s="24" t="b">
        <x:v>0</x:v>
      </x:c>
      <x:c r="X11" s="11" t="str">
        <x:v>{"scope_review_required":true,"entity":"terrace_house","parameter":"net_vent_area","comparison":"&gt;=","threshold":0.5,"unit":"m2","condition_text":"terrace house depth &gt;12 m; permanent front-to-rear ventilation at each floor"}</x:v>
      </x:c>
      <x:c r="Y11" s="11" t="str"/>
    </x:row>
    <x:row r="12" ht="98" customHeight="1">
      <x:c r="A12" s="8" t="str">
        <x:v>BM_0049</x:v>
      </x:c>
      <x:c r="B12" s="8" t="str">
        <x:v>Openings</x:v>
      </x:c>
      <x:c r="C12" s="8" t="str">
        <x:v>adjoining_rooms</x:v>
      </x:c>
      <x:c r="D12" s="8" t="str">
        <x:v>common_wall_open_fraction</x:v>
      </x:c>
      <x:c r="E12" s="8" t="str">
        <x:v>&gt;=</x:v>
      </x:c>
      <x:c r="F12" s="10" t="n">
        <x:v>0.5</x:v>
      </x:c>
      <x:c r="G12" s="8" t="str">
        <x:v>ratio</x:v>
      </x:c>
      <x:c r="H12" s="8" t="str">
        <x:v>half common wall opened/exposed and unobstructed to consider adjoining room portion for light/ventilation</x:v>
      </x:c>
      <x:c r="I12" s="8" t="str">
        <x:v>regulation</x:v>
      </x:c>
      <x:c r="J12" s="8" t="str">
        <x:v>hard</x:v>
      </x:c>
      <x:c r="K12" s="8" t="str">
        <x:v>SRC_0001</x:v>
      </x:c>
      <x:c r="L12" s="8" t="str">
        <x:v>2235-54_E.pdf</x:v>
      </x:c>
      <x:c r="M12" s="8" t="str">
        <x:v>71(8)</x:v>
      </x:c>
      <x:c r="N12" s="18" t="n">
        <x:v>22</x:v>
      </x:c>
      <x:c r="O12" s="8" t="str">
        <x:v>22A</x:v>
      </x:c>
      <x:c r="P12" s="8" t="str">
        <x:v>Sri Lanka declared Urban Development Areas; site/local-plan applicability and later amendments pending</x:v>
      </x:c>
      <x:c r="Q12" s="20" t="n">
        <x:v>44385</x:v>
      </x:c>
      <x:c r="R12" s="20"/>
      <x:c r="S12" s="8" t="str">
        <x:v>source_checked</x:v>
      </x:c>
      <x:c r="T12" s="8" t="str">
        <x:v>AI extraction; professional review pending</x:v>
      </x:c>
      <x:c r="U12" s="20" t="n">
        <x:v>46314</x:v>
      </x:c>
      <x:c r="V12" s="8" t="str">
        <x:v>pending</x:v>
      </x:c>
      <x:c r="W12" s="21" t="b">
        <x:v>0</x:v>
      </x:c>
      <x:c r="X12" s="8" t="str">
        <x:v>{"scope_review_required":true,"entity":"adjoining_rooms","parameter":"common_wall_open_fraction","comparison":"&gt;=","threshold":0.5,"unit":"ratio","condition_text":"half common wall opened/exposed and unobstructed to consider adjoining room portion for light/ventilation"}</x:v>
      </x:c>
      <x:c r="Y12" s="8" t="str"/>
    </x:row>
    <x:row r="13" ht="98" customHeight="1">
      <x:c r="A13" s="11" t="str">
        <x:v>BM_0050</x:v>
      </x:c>
      <x:c r="B13" s="11" t="str">
        <x:v>Openings</x:v>
      </x:c>
      <x:c r="C13" s="11" t="str">
        <x:v>basement_room</x:v>
      </x:c>
      <x:c r="D13" s="11" t="str">
        <x:v>external_wall_height_above_ground_fraction</x:v>
      </x:c>
      <x:c r="E13" s="11" t="str">
        <x:v>&gt;=</x:v>
      </x:c>
      <x:c r="F13" s="12" t="n">
        <x:v>0.3333333333333333</x:v>
      </x:c>
      <x:c r="G13" s="11" t="str">
        <x:v>ratio</x:v>
      </x:c>
      <x:c r="H13" s="11" t="str">
        <x:v>room able to obtain natural light/ventilation; also meet 70(3)</x:v>
      </x:c>
      <x:c r="I13" s="11" t="str">
        <x:v>regulation</x:v>
      </x:c>
      <x:c r="J13" s="11" t="str">
        <x:v>hard</x:v>
      </x:c>
      <x:c r="K13" s="11" t="str">
        <x:v>SRC_0001</x:v>
      </x:c>
      <x:c r="L13" s="11" t="str">
        <x:v>2235-54_E.pdf</x:v>
      </x:c>
      <x:c r="M13" s="11" t="str">
        <x:v>71(9)</x:v>
      </x:c>
      <x:c r="N13" s="22" t="n">
        <x:v>22</x:v>
      </x:c>
      <x:c r="O13" s="11" t="str">
        <x:v>22A</x:v>
      </x:c>
      <x:c r="P13" s="11" t="str">
        <x:v>Sri Lanka declared Urban Development Areas; site/local-plan applicability and later amendments pending</x:v>
      </x:c>
      <x:c r="Q13" s="23" t="n">
        <x:v>44385</x:v>
      </x:c>
      <x:c r="R13" s="23"/>
      <x:c r="S13" s="11" t="str">
        <x:v>source_checked</x:v>
      </x:c>
      <x:c r="T13" s="11" t="str">
        <x:v>AI extraction; professional review pending</x:v>
      </x:c>
      <x:c r="U13" s="23" t="n">
        <x:v>46314</x:v>
      </x:c>
      <x:c r="V13" s="11" t="str">
        <x:v>pending</x:v>
      </x:c>
      <x:c r="W13" s="24" t="b">
        <x:v>0</x:v>
      </x:c>
      <x:c r="X13" s="11" t="str">
        <x:v>{"scope_review_required":true,"entity":"basement_room","parameter":"external_wall_height_above_ground_fraction","comparison":"&gt;=","threshold":0.3333333333333333,"unit":"ratio","condition_text":"room able to obtain natural light/ventilation; also meet 70(3)"}</x:v>
      </x:c>
      <x:c r="Y13" s="11" t="str"/>
    </x:row>
    <x:row r="14" ht="84" customHeight="1">
      <x:c r="A14" s="8" t="str">
        <x:v>BM_0051</x:v>
      </x:c>
      <x:c r="B14" s="8" t="str">
        <x:v>Openings</x:v>
      </x:c>
      <x:c r="C14" s="8" t="str">
        <x:v>residential_mechanical_vent</x:v>
      </x:c>
      <x:c r="D14" s="8" t="str">
        <x:v>air_changes_per_hour</x:v>
      </x:c>
      <x:c r="E14" s="8" t="str">
        <x:v>&gt;=</x:v>
      </x:c>
      <x:c r="F14" s="10" t="n">
        <x:v>3</x:v>
      </x:c>
      <x:c r="G14" s="8" t="str">
        <x:v>1/h</x:v>
      </x:c>
      <x:c r="H14" s="8" t="str">
        <x:v>qualification for reduced natural ventilation opening under 72(3)</x:v>
      </x:c>
      <x:c r="I14" s="8" t="str">
        <x:v>regulation</x:v>
      </x:c>
      <x:c r="J14" s="8" t="str">
        <x:v>hard</x:v>
      </x:c>
      <x:c r="K14" s="8" t="str">
        <x:v>SRC_0001</x:v>
      </x:c>
      <x:c r="L14" s="8" t="str">
        <x:v>2235-54_E.pdf</x:v>
      </x:c>
      <x:c r="M14" s="8" t="str">
        <x:v>72(3)</x:v>
      </x:c>
      <x:c r="N14" s="18" t="n">
        <x:v>22</x:v>
      </x:c>
      <x:c r="O14" s="8" t="str">
        <x:v>22A</x:v>
      </x:c>
      <x:c r="P14" s="8" t="str">
        <x:v>Sri Lanka declared Urban Development Areas; site/local-plan applicability and later amendments pending</x:v>
      </x:c>
      <x:c r="Q14" s="20" t="n">
        <x:v>44385</x:v>
      </x:c>
      <x:c r="R14" s="20"/>
      <x:c r="S14" s="8" t="str">
        <x:v>source_checked</x:v>
      </x:c>
      <x:c r="T14" s="8" t="str">
        <x:v>AI extraction; professional review pending</x:v>
      </x:c>
      <x:c r="U14" s="20" t="n">
        <x:v>46314</x:v>
      </x:c>
      <x:c r="V14" s="8" t="str">
        <x:v>pending</x:v>
      </x:c>
      <x:c r="W14" s="21" t="b">
        <x:v>0</x:v>
      </x:c>
      <x:c r="X14" s="8" t="str">
        <x:v>{"scope_review_required":true,"entity":"residential_mechanical_vent","parameter":"air_changes_per_hour","comparison":"&gt;=","threshold":3,"unit":"1/h","condition_text":"qualification for reduced natural ventilation opening under 72(3)"}</x:v>
      </x:c>
      <x:c r="Y14" s="8" t="str">
        <x:v>Opening may reduce to half of 70(3) but at least 0.5 m2. Qualified person review required.</x:v>
      </x:c>
    </x:row>
    <x:row r="15" ht="84" customHeight="1">
      <x:c r="A15" s="11" t="str">
        <x:v>BM_0052</x:v>
      </x:c>
      <x:c r="B15" s="11" t="str">
        <x:v>Openings</x:v>
      </x:c>
      <x:c r="C15" s="11" t="str">
        <x:v>residential_mechanical_vent</x:v>
      </x:c>
      <x:c r="D15" s="11" t="str">
        <x:v>reduced_natural_opening_floor</x:v>
      </x:c>
      <x:c r="E15" s="11" t="str">
        <x:v>&gt;=</x:v>
      </x:c>
      <x:c r="F15" s="12" t="n">
        <x:v>0.5</x:v>
      </x:c>
      <x:c r="G15" s="11" t="str">
        <x:v>m2</x:v>
      </x:c>
      <x:c r="H15" s="11" t="str">
        <x:v>mechanical fresh air &gt;=3 ACH and half-opening concession applies</x:v>
      </x:c>
      <x:c r="I15" s="11" t="str">
        <x:v>regulation</x:v>
      </x:c>
      <x:c r="J15" s="11" t="str">
        <x:v>hard</x:v>
      </x:c>
      <x:c r="K15" s="11" t="str">
        <x:v>SRC_0001</x:v>
      </x:c>
      <x:c r="L15" s="11" t="str">
        <x:v>2235-54_E.pdf</x:v>
      </x:c>
      <x:c r="M15" s="11" t="str">
        <x:v>72(3)</x:v>
      </x:c>
      <x:c r="N15" s="22" t="n">
        <x:v>22</x:v>
      </x:c>
      <x:c r="O15" s="11" t="str">
        <x:v>22A</x:v>
      </x:c>
      <x:c r="P15" s="11" t="str">
        <x:v>Sri Lanka declared Urban Development Areas; site/local-plan applicability and later amendments pending</x:v>
      </x:c>
      <x:c r="Q15" s="23" t="n">
        <x:v>44385</x:v>
      </x:c>
      <x:c r="R15" s="23"/>
      <x:c r="S15" s="11" t="str">
        <x:v>source_checked</x:v>
      </x:c>
      <x:c r="T15" s="11" t="str">
        <x:v>AI extraction; professional review pending</x:v>
      </x:c>
      <x:c r="U15" s="23" t="n">
        <x:v>46314</x:v>
      </x:c>
      <x:c r="V15" s="11" t="str">
        <x:v>pending</x:v>
      </x:c>
      <x:c r="W15" s="24" t="b">
        <x:v>0</x:v>
      </x:c>
      <x:c r="X15" s="11" t="str">
        <x:v>{"scope_review_required":true,"entity":"residential_mechanical_vent","parameter":"reduced_natural_opening_floor","comparison":"&gt;=","threshold":0.5,"unit":"m2","condition_text":"mechanical fresh air &gt;=3 ACH and half-opening concession applies"}</x:v>
      </x:c>
      <x:c r="Y15" s="11" t="str">
        <x:v>Do not globally substitute this for natural light requirements.</x:v>
      </x:c>
    </x:row>
  </x:sheetData>
  <x:conditionalFormatting sqref="S2:S15">
    <x:cfRule type="containsText" dxfId="8" priority="1" operator="containsText" text="pending"/>
    <x:cfRule type="containsText" dxfId="9" priority="2" operator="containsText" text="conflict"/>
  </x:conditionalFormatting>
  <x:conditionalFormatting sqref="V2:V15">
    <x:cfRule type="containsText" dxfId="10" priority="3" operator="containsText" text="pending"/>
    <x:cfRule type="containsText" dxfId="11" priority="4" operator="containsText" text="conflict"/>
  </x:conditionalFormatting>
  <x:pageMargins left="0.7" right="0.7" top="0.75" bottom="0.75" header="0.3" footer="0.3"/>
  <x:tableParts count="1">
    <x:tablePart xmlns:r="http://schemas.openxmlformats.org/officeDocument/2006/relationships" r:id="R6099c4d02a4f4438"/>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32" hidden="0" customWidth="1"/>
    <x:col min="4" max="4" width="32" hidden="0" customWidth="1"/>
    <x:col min="5" max="5" width="22" hidden="0" customWidth="1"/>
    <x:col min="6" max="6" width="22" hidden="0" customWidth="1"/>
    <x:col min="7" max="7" width="22" hidden="0" customWidth="1"/>
    <x:col min="8" max="8" width="62" hidden="0" customWidth="1"/>
    <x:col min="9" max="9" width="22" hidden="0" customWidth="1"/>
    <x:col min="10" max="10" width="22" hidden="0" customWidth="1"/>
    <x:col min="11" max="11" width="22" hidden="0" customWidth="1"/>
    <x:col min="12" max="12" width="32" hidden="0" customWidth="1"/>
    <x:col min="13" max="13" width="32" hidden="0" customWidth="1"/>
    <x:col min="14" max="14" width="22" hidden="0" customWidth="1"/>
    <x:col min="15" max="15" width="22" hidden="0" customWidth="1"/>
    <x:col min="16" max="16" width="32" hidden="0" customWidth="1"/>
    <x:col min="17" max="17" width="22" hidden="0" customWidth="1"/>
    <x:col min="18" max="18" width="22" hidden="0" customWidth="1"/>
    <x:col min="19" max="19" width="32" hidden="0" customWidth="1"/>
    <x:col min="20" max="20" width="32" hidden="0" customWidth="1"/>
    <x:col min="21" max="21" width="22" hidden="0" customWidth="1"/>
    <x:col min="22" max="22" width="22" hidden="0" customWidth="1"/>
    <x:col min="23" max="23" width="22" hidden="0" customWidth="1"/>
    <x:col min="24" max="24" width="62" hidden="0" customWidth="1"/>
    <x:col min="25" max="25" width="62" hidden="0" customWidth="1"/>
  </x:cols>
  <x:sheetData>
    <x:row r="1" ht="44" customHeight="1">
      <x:c r="A1" s="7" t="str">
        <x:v>rule_id</x:v>
      </x:c>
      <x:c r="B1" s="7" t="str">
        <x:v>category</x:v>
      </x:c>
      <x:c r="C1" s="7" t="str">
        <x:v>entity</x:v>
      </x:c>
      <x:c r="D1" s="7" t="str">
        <x:v>parameter</x:v>
      </x:c>
      <x:c r="E1" s="7" t="str">
        <x:v>operator</x:v>
      </x:c>
      <x:c r="F1" s="9" t="str">
        <x:v>value</x:v>
      </x:c>
      <x:c r="G1" s="7" t="str">
        <x:v>unit</x:v>
      </x:c>
      <x:c r="H1" s="7" t="str">
        <x:v>condition</x:v>
      </x:c>
      <x:c r="I1" s="7" t="str">
        <x:v>rule_type</x:v>
      </x:c>
      <x:c r="J1" s="7" t="str">
        <x:v>severity</x:v>
      </x:c>
      <x:c r="K1" s="7" t="str">
        <x:v>source_id</x:v>
      </x:c>
      <x:c r="L1" s="7" t="str">
        <x:v>source_document</x:v>
      </x:c>
      <x:c r="M1" s="7" t="str">
        <x:v>source_clause</x:v>
      </x:c>
      <x:c r="N1" s="17" t="str">
        <x:v>pdf_page</x:v>
      </x:c>
      <x:c r="O1" s="7" t="str">
        <x:v>printed_page</x:v>
      </x:c>
      <x:c r="P1" s="7" t="str">
        <x:v>jurisdiction</x:v>
      </x:c>
      <x:c r="Q1" s="19" t="str">
        <x:v>source_date</x:v>
      </x:c>
      <x:c r="R1" s="19" t="str">
        <x:v>effective_date</x:v>
      </x:c>
      <x:c r="S1" s="7" t="str">
        <x:v>verification_status</x:v>
      </x:c>
      <x:c r="T1" s="7" t="str">
        <x:v>verified_by</x:v>
      </x:c>
      <x:c r="U1" s="19" t="str">
        <x:v>checked_on</x:v>
      </x:c>
      <x:c r="V1" s="7" t="str">
        <x:v>applicability_status</x:v>
      </x:c>
      <x:c r="W1" s="7" t="str">
        <x:v>enable_in_production</x:v>
      </x:c>
      <x:c r="X1" s="7" t="str">
        <x:v>condition_json</x:v>
      </x:c>
      <x:c r="Y1" s="7" t="str">
        <x:v>notes</x:v>
      </x:c>
    </x:row>
    <x:row r="2" ht="70" customHeight="1">
      <x:c r="A2" s="8" t="str">
        <x:v>BM_0053</x:v>
      </x:c>
      <x:c r="B2" s="8" t="str">
        <x:v>Air Wells</x:v>
      </x:c>
      <x:c r="C2" s="8" t="str">
        <x:v>all_rooms</x:v>
      </x:c>
      <x:c r="D2" s="8" t="str">
        <x:v>airwell_clear_width</x:v>
      </x:c>
      <x:c r="E2" s="8" t="str">
        <x:v>&gt;=</x:v>
      </x:c>
      <x:c r="F2" s="10" t="n">
        <x:v>2.3</x:v>
      </x:c>
      <x:c r="G2" s="8" t="str">
        <x:v>m</x:v>
      </x:c>
      <x:c r="H2" s="8" t="str">
        <x:v>building_height_m: h &lt; 7</x:v>
      </x:c>
      <x:c r="I2" s="8" t="str">
        <x:v>regulation</x:v>
      </x:c>
      <x:c r="J2" s="8" t="str">
        <x:v>hard</x:v>
      </x:c>
      <x:c r="K2" s="8" t="str">
        <x:v>SRC_0001</x:v>
      </x:c>
      <x:c r="L2" s="8" t="str">
        <x:v>2235-54_E.pdf</x:v>
      </x:c>
      <x:c r="M2" s="8" t="str">
        <x:v>Schedule 9; 71(1)</x:v>
      </x:c>
      <x:c r="N2" s="18" t="n">
        <x:v>124</x:v>
      </x:c>
      <x:c r="O2" s="8" t="str">
        <x:v>124A</x:v>
      </x:c>
      <x:c r="P2" s="8" t="str">
        <x:v>Sri Lanka declared Urban Development Areas; site/local-plan applicability and later amendments pending</x:v>
      </x:c>
      <x:c r="Q2" s="20" t="n">
        <x:v>44385</x:v>
      </x:c>
      <x:c r="R2" s="20"/>
      <x:c r="S2" s="8" t="str">
        <x:v>source_checked</x:v>
      </x:c>
      <x:c r="T2" s="8" t="str">
        <x:v>AI extraction; professional review pending</x:v>
      </x:c>
      <x:c r="U2" s="20" t="n">
        <x:v>46314</x:v>
      </x:c>
      <x:c r="V2" s="8" t="str">
        <x:v>pending</x:v>
      </x:c>
      <x:c r="W2" s="21" t="b">
        <x:v>0</x:v>
      </x:c>
      <x:c r="X2" s="8" t="str">
        <x:v>{"scope_review_required":true,"entity":"all_rooms","parameter":"airwell_clear_width","comparison":"&gt;=","threshold":2.3,"unit":"m","condition_text":"building_height_m: h &lt; 7"}</x:v>
      </x:c>
      <x:c r="Y2" s="8" t="str"/>
    </x:row>
    <x:row r="3" ht="70" customHeight="1">
      <x:c r="A3" s="11" t="str">
        <x:v>BM_0054</x:v>
      </x:c>
      <x:c r="B3" s="11" t="str">
        <x:v>Air Wells</x:v>
      </x:c>
      <x:c r="C3" s="11" t="str">
        <x:v>all_rooms</x:v>
      </x:c>
      <x:c r="D3" s="11" t="str">
        <x:v>airwell_area</x:v>
      </x:c>
      <x:c r="E3" s="11" t="str">
        <x:v>&gt;=</x:v>
      </x:c>
      <x:c r="F3" s="12" t="n">
        <x:v>5</x:v>
      </x:c>
      <x:c r="G3" s="11" t="str">
        <x:v>m2</x:v>
      </x:c>
      <x:c r="H3" s="11" t="str">
        <x:v>building_height_m: h &lt; 7</x:v>
      </x:c>
      <x:c r="I3" s="11" t="str">
        <x:v>regulation</x:v>
      </x:c>
      <x:c r="J3" s="11" t="str">
        <x:v>hard</x:v>
      </x:c>
      <x:c r="K3" s="11" t="str">
        <x:v>SRC_0001</x:v>
      </x:c>
      <x:c r="L3" s="11" t="str">
        <x:v>2235-54_E.pdf</x:v>
      </x:c>
      <x:c r="M3" s="11" t="str">
        <x:v>Schedule 9; 71(1)</x:v>
      </x:c>
      <x:c r="N3" s="22" t="n">
        <x:v>124</x:v>
      </x:c>
      <x:c r="O3" s="11" t="str">
        <x:v>124A</x:v>
      </x:c>
      <x:c r="P3" s="11" t="str">
        <x:v>Sri Lanka declared Urban Development Areas; site/local-plan applicability and later amendments pending</x:v>
      </x:c>
      <x:c r="Q3" s="23" t="n">
        <x:v>44385</x:v>
      </x:c>
      <x:c r="R3" s="23"/>
      <x:c r="S3" s="11" t="str">
        <x:v>source_checked</x:v>
      </x:c>
      <x:c r="T3" s="11" t="str">
        <x:v>AI extraction; professional review pending</x:v>
      </x:c>
      <x:c r="U3" s="23" t="n">
        <x:v>46314</x:v>
      </x:c>
      <x:c r="V3" s="11" t="str">
        <x:v>pending</x:v>
      </x:c>
      <x:c r="W3" s="24" t="b">
        <x:v>0</x:v>
      </x:c>
      <x:c r="X3" s="11" t="str">
        <x:v>{"scope_review_required":true,"entity":"all_rooms","parameter":"airwell_area","comparison":"&gt;=","threshold":5,"unit":"m2","condition_text":"building_height_m: h &lt; 7"}</x:v>
      </x:c>
      <x:c r="Y3" s="11" t="str"/>
    </x:row>
    <x:row r="4" ht="70" customHeight="1">
      <x:c r="A4" s="8" t="str">
        <x:v>BM_0055</x:v>
      </x:c>
      <x:c r="B4" s="8" t="str">
        <x:v>Air Wells</x:v>
      </x:c>
      <x:c r="C4" s="8" t="str">
        <x:v>utility_rooms</x:v>
      </x:c>
      <x:c r="D4" s="8" t="str">
        <x:v>airwell_clear_width</x:v>
      </x:c>
      <x:c r="E4" s="8" t="str">
        <x:v>&gt;=</x:v>
      </x:c>
      <x:c r="F4" s="10" t="n">
        <x:v>1</x:v>
      </x:c>
      <x:c r="G4" s="8" t="str">
        <x:v>m</x:v>
      </x:c>
      <x:c r="H4" s="8" t="str">
        <x:v>building_height_m: h &lt; 7</x:v>
      </x:c>
      <x:c r="I4" s="8" t="str">
        <x:v>regulation</x:v>
      </x:c>
      <x:c r="J4" s="8" t="str">
        <x:v>hard</x:v>
      </x:c>
      <x:c r="K4" s="8" t="str">
        <x:v>SRC_0001</x:v>
      </x:c>
      <x:c r="L4" s="8" t="str">
        <x:v>2235-54_E.pdf</x:v>
      </x:c>
      <x:c r="M4" s="8" t="str">
        <x:v>Schedule 9; 71(1)</x:v>
      </x:c>
      <x:c r="N4" s="18" t="n">
        <x:v>124</x:v>
      </x:c>
      <x:c r="O4" s="8" t="str">
        <x:v>124A</x:v>
      </x:c>
      <x:c r="P4" s="8" t="str">
        <x:v>Sri Lanka declared Urban Development Areas; site/local-plan applicability and later amendments pending</x:v>
      </x:c>
      <x:c r="Q4" s="20" t="n">
        <x:v>44385</x:v>
      </x:c>
      <x:c r="R4" s="20"/>
      <x:c r="S4" s="8" t="str">
        <x:v>source_checked</x:v>
      </x:c>
      <x:c r="T4" s="8" t="str">
        <x:v>AI extraction; professional review pending</x:v>
      </x:c>
      <x:c r="U4" s="20" t="n">
        <x:v>46314</x:v>
      </x:c>
      <x:c r="V4" s="8" t="str">
        <x:v>pending</x:v>
      </x:c>
      <x:c r="W4" s="21" t="b">
        <x:v>0</x:v>
      </x:c>
      <x:c r="X4" s="8" t="str">
        <x:v>{"scope_review_required":true,"entity":"utility_rooms","parameter":"airwell_clear_width","comparison":"&gt;=","threshold":1,"unit":"m","condition_text":"building_height_m: h &lt; 7"}</x:v>
      </x:c>
      <x:c r="Y4" s="8" t="str"/>
    </x:row>
    <x:row r="5" ht="70" customHeight="1">
      <x:c r="A5" s="11" t="str">
        <x:v>BM_0056</x:v>
      </x:c>
      <x:c r="B5" s="11" t="str">
        <x:v>Air Wells</x:v>
      </x:c>
      <x:c r="C5" s="11" t="str">
        <x:v>utility_rooms</x:v>
      </x:c>
      <x:c r="D5" s="11" t="str">
        <x:v>airwell_area</x:v>
      </x:c>
      <x:c r="E5" s="11" t="str">
        <x:v>&gt;=</x:v>
      </x:c>
      <x:c r="F5" s="12" t="n">
        <x:v>1</x:v>
      </x:c>
      <x:c r="G5" s="11" t="str">
        <x:v>m2</x:v>
      </x:c>
      <x:c r="H5" s="11" t="str">
        <x:v>building_height_m: h &lt; 7</x:v>
      </x:c>
      <x:c r="I5" s="11" t="str">
        <x:v>regulation</x:v>
      </x:c>
      <x:c r="J5" s="11" t="str">
        <x:v>hard</x:v>
      </x:c>
      <x:c r="K5" s="11" t="str">
        <x:v>SRC_0001</x:v>
      </x:c>
      <x:c r="L5" s="11" t="str">
        <x:v>2235-54_E.pdf</x:v>
      </x:c>
      <x:c r="M5" s="11" t="str">
        <x:v>Schedule 9; 71(1)</x:v>
      </x:c>
      <x:c r="N5" s="22" t="n">
        <x:v>124</x:v>
      </x:c>
      <x:c r="O5" s="11" t="str">
        <x:v>124A</x:v>
      </x:c>
      <x:c r="P5" s="11" t="str">
        <x:v>Sri Lanka declared Urban Development Areas; site/local-plan applicability and later amendments pending</x:v>
      </x:c>
      <x:c r="Q5" s="23" t="n">
        <x:v>44385</x:v>
      </x:c>
      <x:c r="R5" s="23"/>
      <x:c r="S5" s="11" t="str">
        <x:v>source_checked</x:v>
      </x:c>
      <x:c r="T5" s="11" t="str">
        <x:v>AI extraction; professional review pending</x:v>
      </x:c>
      <x:c r="U5" s="23" t="n">
        <x:v>46314</x:v>
      </x:c>
      <x:c r="V5" s="11" t="str">
        <x:v>pending</x:v>
      </x:c>
      <x:c r="W5" s="24" t="b">
        <x:v>0</x:v>
      </x:c>
      <x:c r="X5" s="11" t="str">
        <x:v>{"scope_review_required":true,"entity":"utility_rooms","parameter":"airwell_area","comparison":"&gt;=","threshold":1,"unit":"m2","condition_text":"building_height_m: h &lt; 7"}</x:v>
      </x:c>
      <x:c r="Y5" s="11" t="str"/>
    </x:row>
    <x:row r="6" ht="70" customHeight="1">
      <x:c r="A6" s="8" t="str">
        <x:v>BM_0057</x:v>
      </x:c>
      <x:c r="B6" s="8" t="str">
        <x:v>Air Wells</x:v>
      </x:c>
      <x:c r="C6" s="8" t="str">
        <x:v>all_rooms</x:v>
      </x:c>
      <x:c r="D6" s="8" t="str">
        <x:v>airwell_clear_width</x:v>
      </x:c>
      <x:c r="E6" s="8" t="str">
        <x:v>&gt;=</x:v>
      </x:c>
      <x:c r="F6" s="10" t="n">
        <x:v>3</x:v>
      </x:c>
      <x:c r="G6" s="8" t="str">
        <x:v>m</x:v>
      </x:c>
      <x:c r="H6" s="8" t="str">
        <x:v>building_height_m: 7 to 15</x:v>
      </x:c>
      <x:c r="I6" s="8" t="str">
        <x:v>regulation</x:v>
      </x:c>
      <x:c r="J6" s="8" t="str">
        <x:v>hard</x:v>
      </x:c>
      <x:c r="K6" s="8" t="str">
        <x:v>SRC_0001</x:v>
      </x:c>
      <x:c r="L6" s="8" t="str">
        <x:v>2235-54_E.pdf</x:v>
      </x:c>
      <x:c r="M6" s="8" t="str">
        <x:v>Schedule 9; 71(1)</x:v>
      </x:c>
      <x:c r="N6" s="18" t="n">
        <x:v>124</x:v>
      </x:c>
      <x:c r="O6" s="8" t="str">
        <x:v>124A</x:v>
      </x:c>
      <x:c r="P6" s="8" t="str">
        <x:v>Sri Lanka declared Urban Development Areas; site/local-plan applicability and later amendments pending</x:v>
      </x:c>
      <x:c r="Q6" s="20" t="n">
        <x:v>44385</x:v>
      </x:c>
      <x:c r="R6" s="20"/>
      <x:c r="S6" s="8" t="str">
        <x:v>interpretation_pending</x:v>
      </x:c>
      <x:c r="T6" s="8" t="str">
        <x:v>AI extraction; professional review pending</x:v>
      </x:c>
      <x:c r="U6" s="20" t="n">
        <x:v>46314</x:v>
      </x:c>
      <x:c r="V6" s="8" t="str">
        <x:v>pending</x:v>
      </x:c>
      <x:c r="W6" s="21" t="b">
        <x:v>0</x:v>
      </x:c>
      <x:c r="X6" s="8" t="str">
        <x:v>{"scope_review_required":true,"entity":"all_rooms","parameter":"airwell_clear_width","comparison":"&gt;=","threshold":3,"unit":"m","condition_text":"building_height_m: 7 to 15"}</x:v>
      </x:c>
      <x:c r="Y6" s="8" t="str">
        <x:v>At shared band endpoints, inclusivity needs authority interpretation. 75m+ all-room area uses footnote: +1 m2 per additional 3m; base/rounding require review.</x:v>
      </x:c>
    </x:row>
    <x:row r="7" ht="70" customHeight="1">
      <x:c r="A7" s="11" t="str">
        <x:v>BM_0058</x:v>
      </x:c>
      <x:c r="B7" s="11" t="str">
        <x:v>Air Wells</x:v>
      </x:c>
      <x:c r="C7" s="11" t="str">
        <x:v>all_rooms</x:v>
      </x:c>
      <x:c r="D7" s="11" t="str">
        <x:v>airwell_area</x:v>
      </x:c>
      <x:c r="E7" s="11" t="str">
        <x:v>&gt;=</x:v>
      </x:c>
      <x:c r="F7" s="12" t="n">
        <x:v>9</x:v>
      </x:c>
      <x:c r="G7" s="11" t="str">
        <x:v>m2</x:v>
      </x:c>
      <x:c r="H7" s="11" t="str">
        <x:v>building_height_m: 7 to 15</x:v>
      </x:c>
      <x:c r="I7" s="11" t="str">
        <x:v>regulation</x:v>
      </x:c>
      <x:c r="J7" s="11" t="str">
        <x:v>hard</x:v>
      </x:c>
      <x:c r="K7" s="11" t="str">
        <x:v>SRC_0001</x:v>
      </x:c>
      <x:c r="L7" s="11" t="str">
        <x:v>2235-54_E.pdf</x:v>
      </x:c>
      <x:c r="M7" s="11" t="str">
        <x:v>Schedule 9; 71(1)</x:v>
      </x:c>
      <x:c r="N7" s="22" t="n">
        <x:v>124</x:v>
      </x:c>
      <x:c r="O7" s="11" t="str">
        <x:v>124A</x:v>
      </x:c>
      <x:c r="P7" s="11" t="str">
        <x:v>Sri Lanka declared Urban Development Areas; site/local-plan applicability and later amendments pending</x:v>
      </x:c>
      <x:c r="Q7" s="23" t="n">
        <x:v>44385</x:v>
      </x:c>
      <x:c r="R7" s="23"/>
      <x:c r="S7" s="11" t="str">
        <x:v>interpretation_pending</x:v>
      </x:c>
      <x:c r="T7" s="11" t="str">
        <x:v>AI extraction; professional review pending</x:v>
      </x:c>
      <x:c r="U7" s="23" t="n">
        <x:v>46314</x:v>
      </x:c>
      <x:c r="V7" s="11" t="str">
        <x:v>pending</x:v>
      </x:c>
      <x:c r="W7" s="24" t="b">
        <x:v>0</x:v>
      </x:c>
      <x:c r="X7" s="11" t="str">
        <x:v>{"scope_review_required":true,"entity":"all_rooms","parameter":"airwell_area","comparison":"&gt;=","threshold":9,"unit":"m2","condition_text":"building_height_m: 7 to 15"}</x:v>
      </x:c>
      <x:c r="Y7" s="11" t="str">
        <x:v>At shared band endpoints, inclusivity needs authority interpretation. 75m+ all-room area uses footnote: +1 m2 per additional 3m; base/rounding require review.</x:v>
      </x:c>
    </x:row>
    <x:row r="8" ht="70" customHeight="1">
      <x:c r="A8" s="8" t="str">
        <x:v>BM_0059</x:v>
      </x:c>
      <x:c r="B8" s="8" t="str">
        <x:v>Air Wells</x:v>
      </x:c>
      <x:c r="C8" s="8" t="str">
        <x:v>utility_rooms</x:v>
      </x:c>
      <x:c r="D8" s="8" t="str">
        <x:v>airwell_clear_width</x:v>
      </x:c>
      <x:c r="E8" s="8" t="str">
        <x:v>&gt;=</x:v>
      </x:c>
      <x:c r="F8" s="10" t="n">
        <x:v>1</x:v>
      </x:c>
      <x:c r="G8" s="8" t="str">
        <x:v>m</x:v>
      </x:c>
      <x:c r="H8" s="8" t="str">
        <x:v>building_height_m: 7 to 15</x:v>
      </x:c>
      <x:c r="I8" s="8" t="str">
        <x:v>regulation</x:v>
      </x:c>
      <x:c r="J8" s="8" t="str">
        <x:v>hard</x:v>
      </x:c>
      <x:c r="K8" s="8" t="str">
        <x:v>SRC_0001</x:v>
      </x:c>
      <x:c r="L8" s="8" t="str">
        <x:v>2235-54_E.pdf</x:v>
      </x:c>
      <x:c r="M8" s="8" t="str">
        <x:v>Schedule 9; 71(1)</x:v>
      </x:c>
      <x:c r="N8" s="18" t="n">
        <x:v>124</x:v>
      </x:c>
      <x:c r="O8" s="8" t="str">
        <x:v>124A</x:v>
      </x:c>
      <x:c r="P8" s="8" t="str">
        <x:v>Sri Lanka declared Urban Development Areas; site/local-plan applicability and later amendments pending</x:v>
      </x:c>
      <x:c r="Q8" s="20" t="n">
        <x:v>44385</x:v>
      </x:c>
      <x:c r="R8" s="20"/>
      <x:c r="S8" s="8" t="str">
        <x:v>interpretation_pending</x:v>
      </x:c>
      <x:c r="T8" s="8" t="str">
        <x:v>AI extraction; professional review pending</x:v>
      </x:c>
      <x:c r="U8" s="20" t="n">
        <x:v>46314</x:v>
      </x:c>
      <x:c r="V8" s="8" t="str">
        <x:v>pending</x:v>
      </x:c>
      <x:c r="W8" s="21" t="b">
        <x:v>0</x:v>
      </x:c>
      <x:c r="X8" s="8" t="str">
        <x:v>{"scope_review_required":true,"entity":"utility_rooms","parameter":"airwell_clear_width","comparison":"&gt;=","threshold":1,"unit":"m","condition_text":"building_height_m: 7 to 15"}</x:v>
      </x:c>
      <x:c r="Y8" s="8" t="str">
        <x:v>At shared band endpoints, inclusivity needs authority interpretation. 75m+ all-room area uses footnote: +1 m2 per additional 3m; base/rounding require review.</x:v>
      </x:c>
    </x:row>
    <x:row r="9" ht="70" customHeight="1">
      <x:c r="A9" s="11" t="str">
        <x:v>BM_0060</x:v>
      </x:c>
      <x:c r="B9" s="11" t="str">
        <x:v>Air Wells</x:v>
      </x:c>
      <x:c r="C9" s="11" t="str">
        <x:v>utility_rooms</x:v>
      </x:c>
      <x:c r="D9" s="11" t="str">
        <x:v>airwell_area</x:v>
      </x:c>
      <x:c r="E9" s="11" t="str">
        <x:v>&gt;=</x:v>
      </x:c>
      <x:c r="F9" s="12" t="n">
        <x:v>2</x:v>
      </x:c>
      <x:c r="G9" s="11" t="str">
        <x:v>m2</x:v>
      </x:c>
      <x:c r="H9" s="11" t="str">
        <x:v>building_height_m: 7 to 15</x:v>
      </x:c>
      <x:c r="I9" s="11" t="str">
        <x:v>regulation</x:v>
      </x:c>
      <x:c r="J9" s="11" t="str">
        <x:v>hard</x:v>
      </x:c>
      <x:c r="K9" s="11" t="str">
        <x:v>SRC_0001</x:v>
      </x:c>
      <x:c r="L9" s="11" t="str">
        <x:v>2235-54_E.pdf</x:v>
      </x:c>
      <x:c r="M9" s="11" t="str">
        <x:v>Schedule 9; 71(1)</x:v>
      </x:c>
      <x:c r="N9" s="22" t="n">
        <x:v>124</x:v>
      </x:c>
      <x:c r="O9" s="11" t="str">
        <x:v>124A</x:v>
      </x:c>
      <x:c r="P9" s="11" t="str">
        <x:v>Sri Lanka declared Urban Development Areas; site/local-plan applicability and later amendments pending</x:v>
      </x:c>
      <x:c r="Q9" s="23" t="n">
        <x:v>44385</x:v>
      </x:c>
      <x:c r="R9" s="23"/>
      <x:c r="S9" s="11" t="str">
        <x:v>interpretation_pending</x:v>
      </x:c>
      <x:c r="T9" s="11" t="str">
        <x:v>AI extraction; professional review pending</x:v>
      </x:c>
      <x:c r="U9" s="23" t="n">
        <x:v>46314</x:v>
      </x:c>
      <x:c r="V9" s="11" t="str">
        <x:v>pending</x:v>
      </x:c>
      <x:c r="W9" s="24" t="b">
        <x:v>0</x:v>
      </x:c>
      <x:c r="X9" s="11" t="str">
        <x:v>{"scope_review_required":true,"entity":"utility_rooms","parameter":"airwell_area","comparison":"&gt;=","threshold":2,"unit":"m2","condition_text":"building_height_m: 7 to 15"}</x:v>
      </x:c>
      <x:c r="Y9" s="11" t="str">
        <x:v>At shared band endpoints, inclusivity needs authority interpretation. 75m+ all-room area uses footnote: +1 m2 per additional 3m; base/rounding require review.</x:v>
      </x:c>
    </x:row>
    <x:row r="10" ht="70" customHeight="1">
      <x:c r="A10" s="8" t="str">
        <x:v>BM_0061</x:v>
      </x:c>
      <x:c r="B10" s="8" t="str">
        <x:v>Air Wells</x:v>
      </x:c>
      <x:c r="C10" s="8" t="str">
        <x:v>all_rooms</x:v>
      </x:c>
      <x:c r="D10" s="8" t="str">
        <x:v>airwell_clear_width</x:v>
      </x:c>
      <x:c r="E10" s="8" t="str">
        <x:v>&gt;=</x:v>
      </x:c>
      <x:c r="F10" s="10" t="n">
        <x:v>4</x:v>
      </x:c>
      <x:c r="G10" s="8" t="str">
        <x:v>m</x:v>
      </x:c>
      <x:c r="H10" s="8" t="str">
        <x:v>building_height_m: 15 to 30</x:v>
      </x:c>
      <x:c r="I10" s="8" t="str">
        <x:v>regulation</x:v>
      </x:c>
      <x:c r="J10" s="8" t="str">
        <x:v>hard</x:v>
      </x:c>
      <x:c r="K10" s="8" t="str">
        <x:v>SRC_0001</x:v>
      </x:c>
      <x:c r="L10" s="8" t="str">
        <x:v>2235-54_E.pdf</x:v>
      </x:c>
      <x:c r="M10" s="8" t="str">
        <x:v>Schedule 9; 71(1)</x:v>
      </x:c>
      <x:c r="N10" s="18" t="n">
        <x:v>124</x:v>
      </x:c>
      <x:c r="O10" s="8" t="str">
        <x:v>124A</x:v>
      </x:c>
      <x:c r="P10" s="8" t="str">
        <x:v>Sri Lanka declared Urban Development Areas; site/local-plan applicability and later amendments pending</x:v>
      </x:c>
      <x:c r="Q10" s="20" t="n">
        <x:v>44385</x:v>
      </x:c>
      <x:c r="R10" s="20"/>
      <x:c r="S10" s="8" t="str">
        <x:v>interpretation_pending</x:v>
      </x:c>
      <x:c r="T10" s="8" t="str">
        <x:v>AI extraction; professional review pending</x:v>
      </x:c>
      <x:c r="U10" s="20" t="n">
        <x:v>46314</x:v>
      </x:c>
      <x:c r="V10" s="8" t="str">
        <x:v>pending</x:v>
      </x:c>
      <x:c r="W10" s="21" t="b">
        <x:v>0</x:v>
      </x:c>
      <x:c r="X10" s="8" t="str">
        <x:v>{"scope_review_required":true,"entity":"all_rooms","parameter":"airwell_clear_width","comparison":"&gt;=","threshold":4,"unit":"m","condition_text":"building_height_m: 15 to 30"}</x:v>
      </x:c>
      <x:c r="Y10" s="8" t="str">
        <x:v>At shared band endpoints, inclusivity needs authority interpretation. 75m+ all-room area uses footnote: +1 m2 per additional 3m; base/rounding require review.</x:v>
      </x:c>
    </x:row>
    <x:row r="11" ht="70" customHeight="1">
      <x:c r="A11" s="11" t="str">
        <x:v>BM_0062</x:v>
      </x:c>
      <x:c r="B11" s="11" t="str">
        <x:v>Air Wells</x:v>
      </x:c>
      <x:c r="C11" s="11" t="str">
        <x:v>all_rooms</x:v>
      </x:c>
      <x:c r="D11" s="11" t="str">
        <x:v>airwell_area</x:v>
      </x:c>
      <x:c r="E11" s="11" t="str">
        <x:v>&gt;=</x:v>
      </x:c>
      <x:c r="F11" s="12" t="n">
        <x:v>16</x:v>
      </x:c>
      <x:c r="G11" s="11" t="str">
        <x:v>m2</x:v>
      </x:c>
      <x:c r="H11" s="11" t="str">
        <x:v>building_height_m: 15 to 30</x:v>
      </x:c>
      <x:c r="I11" s="11" t="str">
        <x:v>regulation</x:v>
      </x:c>
      <x:c r="J11" s="11" t="str">
        <x:v>hard</x:v>
      </x:c>
      <x:c r="K11" s="11" t="str">
        <x:v>SRC_0001</x:v>
      </x:c>
      <x:c r="L11" s="11" t="str">
        <x:v>2235-54_E.pdf</x:v>
      </x:c>
      <x:c r="M11" s="11" t="str">
        <x:v>Schedule 9; 71(1)</x:v>
      </x:c>
      <x:c r="N11" s="22" t="n">
        <x:v>124</x:v>
      </x:c>
      <x:c r="O11" s="11" t="str">
        <x:v>124A</x:v>
      </x:c>
      <x:c r="P11" s="11" t="str">
        <x:v>Sri Lanka declared Urban Development Areas; site/local-plan applicability and later amendments pending</x:v>
      </x:c>
      <x:c r="Q11" s="23" t="n">
        <x:v>44385</x:v>
      </x:c>
      <x:c r="R11" s="23"/>
      <x:c r="S11" s="11" t="str">
        <x:v>interpretation_pending</x:v>
      </x:c>
      <x:c r="T11" s="11" t="str">
        <x:v>AI extraction; professional review pending</x:v>
      </x:c>
      <x:c r="U11" s="23" t="n">
        <x:v>46314</x:v>
      </x:c>
      <x:c r="V11" s="11" t="str">
        <x:v>pending</x:v>
      </x:c>
      <x:c r="W11" s="24" t="b">
        <x:v>0</x:v>
      </x:c>
      <x:c r="X11" s="11" t="str">
        <x:v>{"scope_review_required":true,"entity":"all_rooms","parameter":"airwell_area","comparison":"&gt;=","threshold":16,"unit":"m2","condition_text":"building_height_m: 15 to 30"}</x:v>
      </x:c>
      <x:c r="Y11" s="11" t="str">
        <x:v>At shared band endpoints, inclusivity needs authority interpretation. 75m+ all-room area uses footnote: +1 m2 per additional 3m; base/rounding require review.</x:v>
      </x:c>
    </x:row>
    <x:row r="12" ht="70" customHeight="1">
      <x:c r="A12" s="8" t="str">
        <x:v>BM_0063</x:v>
      </x:c>
      <x:c r="B12" s="8" t="str">
        <x:v>Air Wells</x:v>
      </x:c>
      <x:c r="C12" s="8" t="str">
        <x:v>utility_rooms</x:v>
      </x:c>
      <x:c r="D12" s="8" t="str">
        <x:v>airwell_clear_width</x:v>
      </x:c>
      <x:c r="E12" s="8" t="str">
        <x:v>&gt;=</x:v>
      </x:c>
      <x:c r="F12" s="10" t="n">
        <x:v>1</x:v>
      </x:c>
      <x:c r="G12" s="8" t="str">
        <x:v>m</x:v>
      </x:c>
      <x:c r="H12" s="8" t="str">
        <x:v>building_height_m: 15 to 30</x:v>
      </x:c>
      <x:c r="I12" s="8" t="str">
        <x:v>regulation</x:v>
      </x:c>
      <x:c r="J12" s="8" t="str">
        <x:v>hard</x:v>
      </x:c>
      <x:c r="K12" s="8" t="str">
        <x:v>SRC_0001</x:v>
      </x:c>
      <x:c r="L12" s="8" t="str">
        <x:v>2235-54_E.pdf</x:v>
      </x:c>
      <x:c r="M12" s="8" t="str">
        <x:v>Schedule 9; 71(1)</x:v>
      </x:c>
      <x:c r="N12" s="18" t="n">
        <x:v>124</x:v>
      </x:c>
      <x:c r="O12" s="8" t="str">
        <x:v>124A</x:v>
      </x:c>
      <x:c r="P12" s="8" t="str">
        <x:v>Sri Lanka declared Urban Development Areas; site/local-plan applicability and later amendments pending</x:v>
      </x:c>
      <x:c r="Q12" s="20" t="n">
        <x:v>44385</x:v>
      </x:c>
      <x:c r="R12" s="20"/>
      <x:c r="S12" s="8" t="str">
        <x:v>interpretation_pending</x:v>
      </x:c>
      <x:c r="T12" s="8" t="str">
        <x:v>AI extraction; professional review pending</x:v>
      </x:c>
      <x:c r="U12" s="20" t="n">
        <x:v>46314</x:v>
      </x:c>
      <x:c r="V12" s="8" t="str">
        <x:v>pending</x:v>
      </x:c>
      <x:c r="W12" s="21" t="b">
        <x:v>0</x:v>
      </x:c>
      <x:c r="X12" s="8" t="str">
        <x:v>{"scope_review_required":true,"entity":"utility_rooms","parameter":"airwell_clear_width","comparison":"&gt;=","threshold":1,"unit":"m","condition_text":"building_height_m: 15 to 30"}</x:v>
      </x:c>
      <x:c r="Y12" s="8" t="str">
        <x:v>At shared band endpoints, inclusivity needs authority interpretation. 75m+ all-room area uses footnote: +1 m2 per additional 3m; base/rounding require review.</x:v>
      </x:c>
    </x:row>
    <x:row r="13" ht="70" customHeight="1">
      <x:c r="A13" s="11" t="str">
        <x:v>BM_0064</x:v>
      </x:c>
      <x:c r="B13" s="11" t="str">
        <x:v>Air Wells</x:v>
      </x:c>
      <x:c r="C13" s="11" t="str">
        <x:v>utility_rooms</x:v>
      </x:c>
      <x:c r="D13" s="11" t="str">
        <x:v>airwell_area</x:v>
      </x:c>
      <x:c r="E13" s="11" t="str">
        <x:v>&gt;=</x:v>
      </x:c>
      <x:c r="F13" s="12" t="n">
        <x:v>2</x:v>
      </x:c>
      <x:c r="G13" s="11" t="str">
        <x:v>m2</x:v>
      </x:c>
      <x:c r="H13" s="11" t="str">
        <x:v>building_height_m: 15 to 30</x:v>
      </x:c>
      <x:c r="I13" s="11" t="str">
        <x:v>regulation</x:v>
      </x:c>
      <x:c r="J13" s="11" t="str">
        <x:v>hard</x:v>
      </x:c>
      <x:c r="K13" s="11" t="str">
        <x:v>SRC_0001</x:v>
      </x:c>
      <x:c r="L13" s="11" t="str">
        <x:v>2235-54_E.pdf</x:v>
      </x:c>
      <x:c r="M13" s="11" t="str">
        <x:v>Schedule 9; 71(1)</x:v>
      </x:c>
      <x:c r="N13" s="22" t="n">
        <x:v>124</x:v>
      </x:c>
      <x:c r="O13" s="11" t="str">
        <x:v>124A</x:v>
      </x:c>
      <x:c r="P13" s="11" t="str">
        <x:v>Sri Lanka declared Urban Development Areas; site/local-plan applicability and later amendments pending</x:v>
      </x:c>
      <x:c r="Q13" s="23" t="n">
        <x:v>44385</x:v>
      </x:c>
      <x:c r="R13" s="23"/>
      <x:c r="S13" s="11" t="str">
        <x:v>interpretation_pending</x:v>
      </x:c>
      <x:c r="T13" s="11" t="str">
        <x:v>AI extraction; professional review pending</x:v>
      </x:c>
      <x:c r="U13" s="23" t="n">
        <x:v>46314</x:v>
      </x:c>
      <x:c r="V13" s="11" t="str">
        <x:v>pending</x:v>
      </x:c>
      <x:c r="W13" s="24" t="b">
        <x:v>0</x:v>
      </x:c>
      <x:c r="X13" s="11" t="str">
        <x:v>{"scope_review_required":true,"entity":"utility_rooms","parameter":"airwell_area","comparison":"&gt;=","threshold":2,"unit":"m2","condition_text":"building_height_m: 15 to 30"}</x:v>
      </x:c>
      <x:c r="Y13" s="11" t="str">
        <x:v>At shared band endpoints, inclusivity needs authority interpretation. 75m+ all-room area uses footnote: +1 m2 per additional 3m; base/rounding require review.</x:v>
      </x:c>
    </x:row>
    <x:row r="14" ht="70" customHeight="1">
      <x:c r="A14" s="8" t="str">
        <x:v>BM_0065</x:v>
      </x:c>
      <x:c r="B14" s="8" t="str">
        <x:v>Air Wells</x:v>
      </x:c>
      <x:c r="C14" s="8" t="str">
        <x:v>all_rooms</x:v>
      </x:c>
      <x:c r="D14" s="8" t="str">
        <x:v>airwell_clear_width</x:v>
      </x:c>
      <x:c r="E14" s="8" t="str">
        <x:v>&gt;=</x:v>
      </x:c>
      <x:c r="F14" s="10" t="n">
        <x:v>5</x:v>
      </x:c>
      <x:c r="G14" s="8" t="str">
        <x:v>m</x:v>
      </x:c>
      <x:c r="H14" s="8" t="str">
        <x:v>building_height_m: 30 to 50</x:v>
      </x:c>
      <x:c r="I14" s="8" t="str">
        <x:v>regulation</x:v>
      </x:c>
      <x:c r="J14" s="8" t="str">
        <x:v>hard</x:v>
      </x:c>
      <x:c r="K14" s="8" t="str">
        <x:v>SRC_0001</x:v>
      </x:c>
      <x:c r="L14" s="8" t="str">
        <x:v>2235-54_E.pdf</x:v>
      </x:c>
      <x:c r="M14" s="8" t="str">
        <x:v>Schedule 9; 71(1)</x:v>
      </x:c>
      <x:c r="N14" s="18" t="n">
        <x:v>124</x:v>
      </x:c>
      <x:c r="O14" s="8" t="str">
        <x:v>124A</x:v>
      </x:c>
      <x:c r="P14" s="8" t="str">
        <x:v>Sri Lanka declared Urban Development Areas; site/local-plan applicability and later amendments pending</x:v>
      </x:c>
      <x:c r="Q14" s="20" t="n">
        <x:v>44385</x:v>
      </x:c>
      <x:c r="R14" s="20"/>
      <x:c r="S14" s="8" t="str">
        <x:v>interpretation_pending</x:v>
      </x:c>
      <x:c r="T14" s="8" t="str">
        <x:v>AI extraction; professional review pending</x:v>
      </x:c>
      <x:c r="U14" s="20" t="n">
        <x:v>46314</x:v>
      </x:c>
      <x:c r="V14" s="8" t="str">
        <x:v>pending</x:v>
      </x:c>
      <x:c r="W14" s="21" t="b">
        <x:v>0</x:v>
      </x:c>
      <x:c r="X14" s="8" t="str">
        <x:v>{"scope_review_required":true,"entity":"all_rooms","parameter":"airwell_clear_width","comparison":"&gt;=","threshold":5,"unit":"m","condition_text":"building_height_m: 30 to 50"}</x:v>
      </x:c>
      <x:c r="Y14" s="8" t="str">
        <x:v>At shared band endpoints, inclusivity needs authority interpretation. 75m+ all-room area uses footnote: +1 m2 per additional 3m; base/rounding require review.</x:v>
      </x:c>
    </x:row>
    <x:row r="15" ht="70" customHeight="1">
      <x:c r="A15" s="11" t="str">
        <x:v>BM_0066</x:v>
      </x:c>
      <x:c r="B15" s="11" t="str">
        <x:v>Air Wells</x:v>
      </x:c>
      <x:c r="C15" s="11" t="str">
        <x:v>all_rooms</x:v>
      </x:c>
      <x:c r="D15" s="11" t="str">
        <x:v>airwell_area</x:v>
      </x:c>
      <x:c r="E15" s="11" t="str">
        <x:v>&gt;=</x:v>
      </x:c>
      <x:c r="F15" s="12" t="n">
        <x:v>25</x:v>
      </x:c>
      <x:c r="G15" s="11" t="str">
        <x:v>m2</x:v>
      </x:c>
      <x:c r="H15" s="11" t="str">
        <x:v>building_height_m: 30 to 50</x:v>
      </x:c>
      <x:c r="I15" s="11" t="str">
        <x:v>regulation</x:v>
      </x:c>
      <x:c r="J15" s="11" t="str">
        <x:v>hard</x:v>
      </x:c>
      <x:c r="K15" s="11" t="str">
        <x:v>SRC_0001</x:v>
      </x:c>
      <x:c r="L15" s="11" t="str">
        <x:v>2235-54_E.pdf</x:v>
      </x:c>
      <x:c r="M15" s="11" t="str">
        <x:v>Schedule 9; 71(1)</x:v>
      </x:c>
      <x:c r="N15" s="22" t="n">
        <x:v>124</x:v>
      </x:c>
      <x:c r="O15" s="11" t="str">
        <x:v>124A</x:v>
      </x:c>
      <x:c r="P15" s="11" t="str">
        <x:v>Sri Lanka declared Urban Development Areas; site/local-plan applicability and later amendments pending</x:v>
      </x:c>
      <x:c r="Q15" s="23" t="n">
        <x:v>44385</x:v>
      </x:c>
      <x:c r="R15" s="23"/>
      <x:c r="S15" s="11" t="str">
        <x:v>interpretation_pending</x:v>
      </x:c>
      <x:c r="T15" s="11" t="str">
        <x:v>AI extraction; professional review pending</x:v>
      </x:c>
      <x:c r="U15" s="23" t="n">
        <x:v>46314</x:v>
      </x:c>
      <x:c r="V15" s="11" t="str">
        <x:v>pending</x:v>
      </x:c>
      <x:c r="W15" s="24" t="b">
        <x:v>0</x:v>
      </x:c>
      <x:c r="X15" s="11" t="str">
        <x:v>{"scope_review_required":true,"entity":"all_rooms","parameter":"airwell_area","comparison":"&gt;=","threshold":25,"unit":"m2","condition_text":"building_height_m: 30 to 50"}</x:v>
      </x:c>
      <x:c r="Y15" s="11" t="str">
        <x:v>At shared band endpoints, inclusivity needs authority interpretation. 75m+ all-room area uses footnote: +1 m2 per additional 3m; base/rounding require review.</x:v>
      </x:c>
    </x:row>
    <x:row r="16" ht="70" customHeight="1">
      <x:c r="A16" s="8" t="str">
        <x:v>BM_0067</x:v>
      </x:c>
      <x:c r="B16" s="8" t="str">
        <x:v>Air Wells</x:v>
      </x:c>
      <x:c r="C16" s="8" t="str">
        <x:v>utility_rooms</x:v>
      </x:c>
      <x:c r="D16" s="8" t="str">
        <x:v>airwell_clear_width</x:v>
      </x:c>
      <x:c r="E16" s="8" t="str">
        <x:v>&gt;=</x:v>
      </x:c>
      <x:c r="F16" s="10" t="n">
        <x:v>1</x:v>
      </x:c>
      <x:c r="G16" s="8" t="str">
        <x:v>m</x:v>
      </x:c>
      <x:c r="H16" s="8" t="str">
        <x:v>building_height_m: 30 to 50</x:v>
      </x:c>
      <x:c r="I16" s="8" t="str">
        <x:v>regulation</x:v>
      </x:c>
      <x:c r="J16" s="8" t="str">
        <x:v>hard</x:v>
      </x:c>
      <x:c r="K16" s="8" t="str">
        <x:v>SRC_0001</x:v>
      </x:c>
      <x:c r="L16" s="8" t="str">
        <x:v>2235-54_E.pdf</x:v>
      </x:c>
      <x:c r="M16" s="8" t="str">
        <x:v>Schedule 9; 71(1)</x:v>
      </x:c>
      <x:c r="N16" s="18" t="n">
        <x:v>124</x:v>
      </x:c>
      <x:c r="O16" s="8" t="str">
        <x:v>124A</x:v>
      </x:c>
      <x:c r="P16" s="8" t="str">
        <x:v>Sri Lanka declared Urban Development Areas; site/local-plan applicability and later amendments pending</x:v>
      </x:c>
      <x:c r="Q16" s="20" t="n">
        <x:v>44385</x:v>
      </x:c>
      <x:c r="R16" s="20"/>
      <x:c r="S16" s="8" t="str">
        <x:v>interpretation_pending</x:v>
      </x:c>
      <x:c r="T16" s="8" t="str">
        <x:v>AI extraction; professional review pending</x:v>
      </x:c>
      <x:c r="U16" s="20" t="n">
        <x:v>46314</x:v>
      </x:c>
      <x:c r="V16" s="8" t="str">
        <x:v>pending</x:v>
      </x:c>
      <x:c r="W16" s="21" t="b">
        <x:v>0</x:v>
      </x:c>
      <x:c r="X16" s="8" t="str">
        <x:v>{"scope_review_required":true,"entity":"utility_rooms","parameter":"airwell_clear_width","comparison":"&gt;=","threshold":1,"unit":"m","condition_text":"building_height_m: 30 to 50"}</x:v>
      </x:c>
      <x:c r="Y16" s="8" t="str">
        <x:v>At shared band endpoints, inclusivity needs authority interpretation. 75m+ all-room area uses footnote: +1 m2 per additional 3m; base/rounding require review.</x:v>
      </x:c>
    </x:row>
    <x:row r="17" ht="70" customHeight="1">
      <x:c r="A17" s="11" t="str">
        <x:v>BM_0068</x:v>
      </x:c>
      <x:c r="B17" s="11" t="str">
        <x:v>Air Wells</x:v>
      </x:c>
      <x:c r="C17" s="11" t="str">
        <x:v>utility_rooms</x:v>
      </x:c>
      <x:c r="D17" s="11" t="str">
        <x:v>airwell_area</x:v>
      </x:c>
      <x:c r="E17" s="11" t="str">
        <x:v>&gt;=</x:v>
      </x:c>
      <x:c r="F17" s="12" t="n">
        <x:v>2.25</x:v>
      </x:c>
      <x:c r="G17" s="11" t="str">
        <x:v>m2</x:v>
      </x:c>
      <x:c r="H17" s="11" t="str">
        <x:v>building_height_m: 30 to 50</x:v>
      </x:c>
      <x:c r="I17" s="11" t="str">
        <x:v>regulation</x:v>
      </x:c>
      <x:c r="J17" s="11" t="str">
        <x:v>hard</x:v>
      </x:c>
      <x:c r="K17" s="11" t="str">
        <x:v>SRC_0001</x:v>
      </x:c>
      <x:c r="L17" s="11" t="str">
        <x:v>2235-54_E.pdf</x:v>
      </x:c>
      <x:c r="M17" s="11" t="str">
        <x:v>Schedule 9; 71(1)</x:v>
      </x:c>
      <x:c r="N17" s="22" t="n">
        <x:v>124</x:v>
      </x:c>
      <x:c r="O17" s="11" t="str">
        <x:v>124A</x:v>
      </x:c>
      <x:c r="P17" s="11" t="str">
        <x:v>Sri Lanka declared Urban Development Areas; site/local-plan applicability and later amendments pending</x:v>
      </x:c>
      <x:c r="Q17" s="23" t="n">
        <x:v>44385</x:v>
      </x:c>
      <x:c r="R17" s="23"/>
      <x:c r="S17" s="11" t="str">
        <x:v>interpretation_pending</x:v>
      </x:c>
      <x:c r="T17" s="11" t="str">
        <x:v>AI extraction; professional review pending</x:v>
      </x:c>
      <x:c r="U17" s="23" t="n">
        <x:v>46314</x:v>
      </x:c>
      <x:c r="V17" s="11" t="str">
        <x:v>pending</x:v>
      </x:c>
      <x:c r="W17" s="24" t="b">
        <x:v>0</x:v>
      </x:c>
      <x:c r="X17" s="11" t="str">
        <x:v>{"scope_review_required":true,"entity":"utility_rooms","parameter":"airwell_area","comparison":"&gt;=","threshold":2.25,"unit":"m2","condition_text":"building_height_m: 30 to 50"}</x:v>
      </x:c>
      <x:c r="Y17" s="11" t="str">
        <x:v>At shared band endpoints, inclusivity needs authority interpretation. 75m+ all-room area uses footnote: +1 m2 per additional 3m; base/rounding require review.</x:v>
      </x:c>
    </x:row>
    <x:row r="18" ht="70" customHeight="1">
      <x:c r="A18" s="8" t="str">
        <x:v>BM_0069</x:v>
      </x:c>
      <x:c r="B18" s="8" t="str">
        <x:v>Air Wells</x:v>
      </x:c>
      <x:c r="C18" s="8" t="str">
        <x:v>all_rooms</x:v>
      </x:c>
      <x:c r="D18" s="8" t="str">
        <x:v>airwell_clear_width</x:v>
      </x:c>
      <x:c r="E18" s="8" t="str">
        <x:v>&gt;=</x:v>
      </x:c>
      <x:c r="F18" s="10" t="n">
        <x:v>6</x:v>
      </x:c>
      <x:c r="G18" s="8" t="str">
        <x:v>m</x:v>
      </x:c>
      <x:c r="H18" s="8" t="str">
        <x:v>building_height_m: 50 to 75</x:v>
      </x:c>
      <x:c r="I18" s="8" t="str">
        <x:v>regulation</x:v>
      </x:c>
      <x:c r="J18" s="8" t="str">
        <x:v>hard</x:v>
      </x:c>
      <x:c r="K18" s="8" t="str">
        <x:v>SRC_0001</x:v>
      </x:c>
      <x:c r="L18" s="8" t="str">
        <x:v>2235-54_E.pdf</x:v>
      </x:c>
      <x:c r="M18" s="8" t="str">
        <x:v>Schedule 9; 71(1)</x:v>
      </x:c>
      <x:c r="N18" s="18" t="n">
        <x:v>124</x:v>
      </x:c>
      <x:c r="O18" s="8" t="str">
        <x:v>124A</x:v>
      </x:c>
      <x:c r="P18" s="8" t="str">
        <x:v>Sri Lanka declared Urban Development Areas; site/local-plan applicability and later amendments pending</x:v>
      </x:c>
      <x:c r="Q18" s="20" t="n">
        <x:v>44385</x:v>
      </x:c>
      <x:c r="R18" s="20"/>
      <x:c r="S18" s="8" t="str">
        <x:v>interpretation_pending</x:v>
      </x:c>
      <x:c r="T18" s="8" t="str">
        <x:v>AI extraction; professional review pending</x:v>
      </x:c>
      <x:c r="U18" s="20" t="n">
        <x:v>46314</x:v>
      </x:c>
      <x:c r="V18" s="8" t="str">
        <x:v>pending</x:v>
      </x:c>
      <x:c r="W18" s="21" t="b">
        <x:v>0</x:v>
      </x:c>
      <x:c r="X18" s="8" t="str">
        <x:v>{"scope_review_required":true,"entity":"all_rooms","parameter":"airwell_clear_width","comparison":"&gt;=","threshold":6,"unit":"m","condition_text":"building_height_m: 50 to 75"}</x:v>
      </x:c>
      <x:c r="Y18" s="8" t="str">
        <x:v>At shared band endpoints, inclusivity needs authority interpretation. 75m+ all-room area uses footnote: +1 m2 per additional 3m; base/rounding require review.</x:v>
      </x:c>
    </x:row>
    <x:row r="19" ht="70" customHeight="1">
      <x:c r="A19" s="11" t="str">
        <x:v>BM_0070</x:v>
      </x:c>
      <x:c r="B19" s="11" t="str">
        <x:v>Air Wells</x:v>
      </x:c>
      <x:c r="C19" s="11" t="str">
        <x:v>all_rooms</x:v>
      </x:c>
      <x:c r="D19" s="11" t="str">
        <x:v>airwell_area</x:v>
      </x:c>
      <x:c r="E19" s="11" t="str">
        <x:v>&gt;=</x:v>
      </x:c>
      <x:c r="F19" s="12" t="n">
        <x:v>36</x:v>
      </x:c>
      <x:c r="G19" s="11" t="str">
        <x:v>m2</x:v>
      </x:c>
      <x:c r="H19" s="11" t="str">
        <x:v>building_height_m: 50 to 75</x:v>
      </x:c>
      <x:c r="I19" s="11" t="str">
        <x:v>regulation</x:v>
      </x:c>
      <x:c r="J19" s="11" t="str">
        <x:v>hard</x:v>
      </x:c>
      <x:c r="K19" s="11" t="str">
        <x:v>SRC_0001</x:v>
      </x:c>
      <x:c r="L19" s="11" t="str">
        <x:v>2235-54_E.pdf</x:v>
      </x:c>
      <x:c r="M19" s="11" t="str">
        <x:v>Schedule 9; 71(1)</x:v>
      </x:c>
      <x:c r="N19" s="22" t="n">
        <x:v>124</x:v>
      </x:c>
      <x:c r="O19" s="11" t="str">
        <x:v>124A</x:v>
      </x:c>
      <x:c r="P19" s="11" t="str">
        <x:v>Sri Lanka declared Urban Development Areas; site/local-plan applicability and later amendments pending</x:v>
      </x:c>
      <x:c r="Q19" s="23" t="n">
        <x:v>44385</x:v>
      </x:c>
      <x:c r="R19" s="23"/>
      <x:c r="S19" s="11" t="str">
        <x:v>interpretation_pending</x:v>
      </x:c>
      <x:c r="T19" s="11" t="str">
        <x:v>AI extraction; professional review pending</x:v>
      </x:c>
      <x:c r="U19" s="23" t="n">
        <x:v>46314</x:v>
      </x:c>
      <x:c r="V19" s="11" t="str">
        <x:v>pending</x:v>
      </x:c>
      <x:c r="W19" s="24" t="b">
        <x:v>0</x:v>
      </x:c>
      <x:c r="X19" s="11" t="str">
        <x:v>{"scope_review_required":true,"entity":"all_rooms","parameter":"airwell_area","comparison":"&gt;=","threshold":36,"unit":"m2","condition_text":"building_height_m: 50 to 75"}</x:v>
      </x:c>
      <x:c r="Y19" s="11" t="str">
        <x:v>At shared band endpoints, inclusivity needs authority interpretation. 75m+ all-room area uses footnote: +1 m2 per additional 3m; base/rounding require review.</x:v>
      </x:c>
    </x:row>
    <x:row r="20" ht="70" customHeight="1">
      <x:c r="A20" s="8" t="str">
        <x:v>BM_0071</x:v>
      </x:c>
      <x:c r="B20" s="8" t="str">
        <x:v>Air Wells</x:v>
      </x:c>
      <x:c r="C20" s="8" t="str">
        <x:v>utility_rooms</x:v>
      </x:c>
      <x:c r="D20" s="8" t="str">
        <x:v>airwell_clear_width</x:v>
      </x:c>
      <x:c r="E20" s="8" t="str">
        <x:v>&gt;=</x:v>
      </x:c>
      <x:c r="F20" s="10" t="n">
        <x:v>1.5</x:v>
      </x:c>
      <x:c r="G20" s="8" t="str">
        <x:v>m</x:v>
      </x:c>
      <x:c r="H20" s="8" t="str">
        <x:v>building_height_m: 50 to 75</x:v>
      </x:c>
      <x:c r="I20" s="8" t="str">
        <x:v>regulation</x:v>
      </x:c>
      <x:c r="J20" s="8" t="str">
        <x:v>hard</x:v>
      </x:c>
      <x:c r="K20" s="8" t="str">
        <x:v>SRC_0001</x:v>
      </x:c>
      <x:c r="L20" s="8" t="str">
        <x:v>2235-54_E.pdf</x:v>
      </x:c>
      <x:c r="M20" s="8" t="str">
        <x:v>Schedule 9; 71(1)</x:v>
      </x:c>
      <x:c r="N20" s="18" t="n">
        <x:v>124</x:v>
      </x:c>
      <x:c r="O20" s="8" t="str">
        <x:v>124A</x:v>
      </x:c>
      <x:c r="P20" s="8" t="str">
        <x:v>Sri Lanka declared Urban Development Areas; site/local-plan applicability and later amendments pending</x:v>
      </x:c>
      <x:c r="Q20" s="20" t="n">
        <x:v>44385</x:v>
      </x:c>
      <x:c r="R20" s="20"/>
      <x:c r="S20" s="8" t="str">
        <x:v>interpretation_pending</x:v>
      </x:c>
      <x:c r="T20" s="8" t="str">
        <x:v>AI extraction; professional review pending</x:v>
      </x:c>
      <x:c r="U20" s="20" t="n">
        <x:v>46314</x:v>
      </x:c>
      <x:c r="V20" s="8" t="str">
        <x:v>pending</x:v>
      </x:c>
      <x:c r="W20" s="21" t="b">
        <x:v>0</x:v>
      </x:c>
      <x:c r="X20" s="8" t="str">
        <x:v>{"scope_review_required":true,"entity":"utility_rooms","parameter":"airwell_clear_width","comparison":"&gt;=","threshold":1.5,"unit":"m","condition_text":"building_height_m: 50 to 75"}</x:v>
      </x:c>
      <x:c r="Y20" s="8" t="str">
        <x:v>At shared band endpoints, inclusivity needs authority interpretation. 75m+ all-room area uses footnote: +1 m2 per additional 3m; base/rounding require review.</x:v>
      </x:c>
    </x:row>
    <x:row r="21" ht="70" customHeight="1">
      <x:c r="A21" s="11" t="str">
        <x:v>BM_0072</x:v>
      </x:c>
      <x:c r="B21" s="11" t="str">
        <x:v>Air Wells</x:v>
      </x:c>
      <x:c r="C21" s="11" t="str">
        <x:v>utility_rooms</x:v>
      </x:c>
      <x:c r="D21" s="11" t="str">
        <x:v>airwell_area</x:v>
      </x:c>
      <x:c r="E21" s="11" t="str">
        <x:v>&gt;=</x:v>
      </x:c>
      <x:c r="F21" s="12" t="n">
        <x:v>2.25</x:v>
      </x:c>
      <x:c r="G21" s="11" t="str">
        <x:v>m2</x:v>
      </x:c>
      <x:c r="H21" s="11" t="str">
        <x:v>building_height_m: 50 to 75</x:v>
      </x:c>
      <x:c r="I21" s="11" t="str">
        <x:v>regulation</x:v>
      </x:c>
      <x:c r="J21" s="11" t="str">
        <x:v>hard</x:v>
      </x:c>
      <x:c r="K21" s="11" t="str">
        <x:v>SRC_0001</x:v>
      </x:c>
      <x:c r="L21" s="11" t="str">
        <x:v>2235-54_E.pdf</x:v>
      </x:c>
      <x:c r="M21" s="11" t="str">
        <x:v>Schedule 9; 71(1)</x:v>
      </x:c>
      <x:c r="N21" s="22" t="n">
        <x:v>124</x:v>
      </x:c>
      <x:c r="O21" s="11" t="str">
        <x:v>124A</x:v>
      </x:c>
      <x:c r="P21" s="11" t="str">
        <x:v>Sri Lanka declared Urban Development Areas; site/local-plan applicability and later amendments pending</x:v>
      </x:c>
      <x:c r="Q21" s="23" t="n">
        <x:v>44385</x:v>
      </x:c>
      <x:c r="R21" s="23"/>
      <x:c r="S21" s="11" t="str">
        <x:v>interpretation_pending</x:v>
      </x:c>
      <x:c r="T21" s="11" t="str">
        <x:v>AI extraction; professional review pending</x:v>
      </x:c>
      <x:c r="U21" s="23" t="n">
        <x:v>46314</x:v>
      </x:c>
      <x:c r="V21" s="11" t="str">
        <x:v>pending</x:v>
      </x:c>
      <x:c r="W21" s="24" t="b">
        <x:v>0</x:v>
      </x:c>
      <x:c r="X21" s="11" t="str">
        <x:v>{"scope_review_required":true,"entity":"utility_rooms","parameter":"airwell_area","comparison":"&gt;=","threshold":2.25,"unit":"m2","condition_text":"building_height_m: 50 to 75"}</x:v>
      </x:c>
      <x:c r="Y21" s="11" t="str">
        <x:v>At shared band endpoints, inclusivity needs authority interpretation. 75m+ all-room area uses footnote: +1 m2 per additional 3m; base/rounding require review.</x:v>
      </x:c>
    </x:row>
    <x:row r="22" ht="70" customHeight="1">
      <x:c r="A22" s="8" t="str">
        <x:v>BM_0073</x:v>
      </x:c>
      <x:c r="B22" s="8" t="str">
        <x:v>Air Wells</x:v>
      </x:c>
      <x:c r="C22" s="8" t="str">
        <x:v>all_rooms</x:v>
      </x:c>
      <x:c r="D22" s="8" t="str">
        <x:v>airwell_clear_width</x:v>
      </x:c>
      <x:c r="E22" s="8" t="str">
        <x:v>&gt;=</x:v>
      </x:c>
      <x:c r="F22" s="10" t="n">
        <x:v>6</x:v>
      </x:c>
      <x:c r="G22" s="8" t="str">
        <x:v>m</x:v>
      </x:c>
      <x:c r="H22" s="8" t="str">
        <x:v>building_height_m: 75 and above</x:v>
      </x:c>
      <x:c r="I22" s="8" t="str">
        <x:v>regulation</x:v>
      </x:c>
      <x:c r="J22" s="8" t="str">
        <x:v>hard</x:v>
      </x:c>
      <x:c r="K22" s="8" t="str">
        <x:v>SRC_0001</x:v>
      </x:c>
      <x:c r="L22" s="8" t="str">
        <x:v>2235-54_E.pdf</x:v>
      </x:c>
      <x:c r="M22" s="8" t="str">
        <x:v>Schedule 9; 71(1)</x:v>
      </x:c>
      <x:c r="N22" s="18" t="n">
        <x:v>124</x:v>
      </x:c>
      <x:c r="O22" s="8" t="str">
        <x:v>124A</x:v>
      </x:c>
      <x:c r="P22" s="8" t="str">
        <x:v>Sri Lanka declared Urban Development Areas; site/local-plan applicability and later amendments pending</x:v>
      </x:c>
      <x:c r="Q22" s="20" t="n">
        <x:v>44385</x:v>
      </x:c>
      <x:c r="R22" s="20"/>
      <x:c r="S22" s="8" t="str">
        <x:v>interpretation_pending</x:v>
      </x:c>
      <x:c r="T22" s="8" t="str">
        <x:v>AI extraction; professional review pending</x:v>
      </x:c>
      <x:c r="U22" s="20" t="n">
        <x:v>46314</x:v>
      </x:c>
      <x:c r="V22" s="8" t="str">
        <x:v>pending</x:v>
      </x:c>
      <x:c r="W22" s="21" t="b">
        <x:v>0</x:v>
      </x:c>
      <x:c r="X22" s="8" t="str">
        <x:v>{"scope_review_required":true,"entity":"all_rooms","parameter":"airwell_clear_width","comparison":"&gt;=","threshold":6,"unit":"m","condition_text":"building_height_m: 75 and above"}</x:v>
      </x:c>
      <x:c r="Y22" s="8" t="str">
        <x:v>At shared band endpoints, inclusivity needs authority interpretation. 75m+ all-room area uses footnote: +1 m2 per additional 3m; base/rounding require review.</x:v>
      </x:c>
    </x:row>
    <x:row r="23" ht="70" customHeight="1">
      <x:c r="A23" s="11" t="str">
        <x:v>BM_0074</x:v>
      </x:c>
      <x:c r="B23" s="11" t="str">
        <x:v>Air Wells</x:v>
      </x:c>
      <x:c r="C23" s="11" t="str">
        <x:v>all_rooms</x:v>
      </x:c>
      <x:c r="D23" s="11" t="str">
        <x:v>airwell_area</x:v>
      </x:c>
      <x:c r="E23" s="11" t="str">
        <x:v>&gt;=</x:v>
      </x:c>
      <x:c r="F23" s="12"/>
      <x:c r="G23" s="11" t="str">
        <x:v>m2</x:v>
      </x:c>
      <x:c r="H23" s="11" t="str">
        <x:v>building_height_m: 75 and above</x:v>
      </x:c>
      <x:c r="I23" s="11" t="str">
        <x:v>regulation</x:v>
      </x:c>
      <x:c r="J23" s="11" t="str">
        <x:v>hard</x:v>
      </x:c>
      <x:c r="K23" s="11" t="str">
        <x:v>SRC_0001</x:v>
      </x:c>
      <x:c r="L23" s="11" t="str">
        <x:v>2235-54_E.pdf</x:v>
      </x:c>
      <x:c r="M23" s="11" t="str">
        <x:v>Schedule 9; 71(1)</x:v>
      </x:c>
      <x:c r="N23" s="22" t="n">
        <x:v>124</x:v>
      </x:c>
      <x:c r="O23" s="11" t="str">
        <x:v>124A</x:v>
      </x:c>
      <x:c r="P23" s="11" t="str">
        <x:v>Sri Lanka declared Urban Development Areas; site/local-plan applicability and later amendments pending</x:v>
      </x:c>
      <x:c r="Q23" s="23" t="n">
        <x:v>44385</x:v>
      </x:c>
      <x:c r="R23" s="23"/>
      <x:c r="S23" s="11" t="str">
        <x:v>interpretation_pending</x:v>
      </x:c>
      <x:c r="T23" s="11" t="str">
        <x:v>AI extraction; professional review pending</x:v>
      </x:c>
      <x:c r="U23" s="23" t="n">
        <x:v>46314</x:v>
      </x:c>
      <x:c r="V23" s="11" t="str">
        <x:v>pending</x:v>
      </x:c>
      <x:c r="W23" s="24" t="b">
        <x:v>0</x:v>
      </x:c>
      <x:c r="X23" s="11" t="str">
        <x:v>{"scope_review_required":true,"entity":"all_rooms","parameter":"airwell_area","comparison":"&gt;=","threshold":null,"unit":"m2","condition_text":"building_height_m: 75 and above"}</x:v>
      </x:c>
      <x:c r="Y23" s="11" t="str">
        <x:v>At shared band endpoints, inclusivity needs authority interpretation. 75m+ all-room area uses footnote: +1 m2 per additional 3m; base/rounding require review.</x:v>
      </x:c>
    </x:row>
    <x:row r="24" ht="70" customHeight="1">
      <x:c r="A24" s="8" t="str">
        <x:v>BM_0075</x:v>
      </x:c>
      <x:c r="B24" s="8" t="str">
        <x:v>Air Wells</x:v>
      </x:c>
      <x:c r="C24" s="8" t="str">
        <x:v>utility_rooms</x:v>
      </x:c>
      <x:c r="D24" s="8" t="str">
        <x:v>airwell_clear_width</x:v>
      </x:c>
      <x:c r="E24" s="8" t="str">
        <x:v>&gt;=</x:v>
      </x:c>
      <x:c r="F24" s="10" t="n">
        <x:v>1.5</x:v>
      </x:c>
      <x:c r="G24" s="8" t="str">
        <x:v>m</x:v>
      </x:c>
      <x:c r="H24" s="8" t="str">
        <x:v>building_height_m: 75 and above</x:v>
      </x:c>
      <x:c r="I24" s="8" t="str">
        <x:v>regulation</x:v>
      </x:c>
      <x:c r="J24" s="8" t="str">
        <x:v>hard</x:v>
      </x:c>
      <x:c r="K24" s="8" t="str">
        <x:v>SRC_0001</x:v>
      </x:c>
      <x:c r="L24" s="8" t="str">
        <x:v>2235-54_E.pdf</x:v>
      </x:c>
      <x:c r="M24" s="8" t="str">
        <x:v>Schedule 9; 71(1)</x:v>
      </x:c>
      <x:c r="N24" s="18" t="n">
        <x:v>124</x:v>
      </x:c>
      <x:c r="O24" s="8" t="str">
        <x:v>124A</x:v>
      </x:c>
      <x:c r="P24" s="8" t="str">
        <x:v>Sri Lanka declared Urban Development Areas; site/local-plan applicability and later amendments pending</x:v>
      </x:c>
      <x:c r="Q24" s="20" t="n">
        <x:v>44385</x:v>
      </x:c>
      <x:c r="R24" s="20"/>
      <x:c r="S24" s="8" t="str">
        <x:v>interpretation_pending</x:v>
      </x:c>
      <x:c r="T24" s="8" t="str">
        <x:v>AI extraction; professional review pending</x:v>
      </x:c>
      <x:c r="U24" s="20" t="n">
        <x:v>46314</x:v>
      </x:c>
      <x:c r="V24" s="8" t="str">
        <x:v>pending</x:v>
      </x:c>
      <x:c r="W24" s="21" t="b">
        <x:v>0</x:v>
      </x:c>
      <x:c r="X24" s="8" t="str">
        <x:v>{"scope_review_required":true,"entity":"utility_rooms","parameter":"airwell_clear_width","comparison":"&gt;=","threshold":1.5,"unit":"m","condition_text":"building_height_m: 75 and above"}</x:v>
      </x:c>
      <x:c r="Y24" s="8" t="str">
        <x:v>At shared band endpoints, inclusivity needs authority interpretation. 75m+ all-room area uses footnote: +1 m2 per additional 3m; base/rounding require review.</x:v>
      </x:c>
    </x:row>
    <x:row r="25" ht="70" customHeight="1">
      <x:c r="A25" s="11" t="str">
        <x:v>BM_0076</x:v>
      </x:c>
      <x:c r="B25" s="11" t="str">
        <x:v>Air Wells</x:v>
      </x:c>
      <x:c r="C25" s="11" t="str">
        <x:v>utility_rooms</x:v>
      </x:c>
      <x:c r="D25" s="11" t="str">
        <x:v>airwell_area</x:v>
      </x:c>
      <x:c r="E25" s="11" t="str">
        <x:v>&gt;=</x:v>
      </x:c>
      <x:c r="F25" s="12" t="n">
        <x:v>2.25</x:v>
      </x:c>
      <x:c r="G25" s="11" t="str">
        <x:v>m2</x:v>
      </x:c>
      <x:c r="H25" s="11" t="str">
        <x:v>building_height_m: 75 and above</x:v>
      </x:c>
      <x:c r="I25" s="11" t="str">
        <x:v>regulation</x:v>
      </x:c>
      <x:c r="J25" s="11" t="str">
        <x:v>hard</x:v>
      </x:c>
      <x:c r="K25" s="11" t="str">
        <x:v>SRC_0001</x:v>
      </x:c>
      <x:c r="L25" s="11" t="str">
        <x:v>2235-54_E.pdf</x:v>
      </x:c>
      <x:c r="M25" s="11" t="str">
        <x:v>Schedule 9; 71(1)</x:v>
      </x:c>
      <x:c r="N25" s="22" t="n">
        <x:v>124</x:v>
      </x:c>
      <x:c r="O25" s="11" t="str">
        <x:v>124A</x:v>
      </x:c>
      <x:c r="P25" s="11" t="str">
        <x:v>Sri Lanka declared Urban Development Areas; site/local-plan applicability and later amendments pending</x:v>
      </x:c>
      <x:c r="Q25" s="23" t="n">
        <x:v>44385</x:v>
      </x:c>
      <x:c r="R25" s="23"/>
      <x:c r="S25" s="11" t="str">
        <x:v>interpretation_pending</x:v>
      </x:c>
      <x:c r="T25" s="11" t="str">
        <x:v>AI extraction; professional review pending</x:v>
      </x:c>
      <x:c r="U25" s="23" t="n">
        <x:v>46314</x:v>
      </x:c>
      <x:c r="V25" s="11" t="str">
        <x:v>pending</x:v>
      </x:c>
      <x:c r="W25" s="24" t="b">
        <x:v>0</x:v>
      </x:c>
      <x:c r="X25" s="11" t="str">
        <x:v>{"scope_review_required":true,"entity":"utility_rooms","parameter":"airwell_area","comparison":"&gt;=","threshold":2.25,"unit":"m2","condition_text":"building_height_m: 75 and above"}</x:v>
      </x:c>
      <x:c r="Y25" s="11" t="str">
        <x:v>At shared band endpoints, inclusivity needs authority interpretation. 75m+ all-room area uses footnote: +1 m2 per additional 3m; base/rounding require review.</x:v>
      </x:c>
    </x:row>
    <x:row r="26" ht="84" customHeight="1">
      <x:c r="A26" s="8" t="str">
        <x:v>BM_0077</x:v>
      </x:c>
      <x:c r="B26" s="8" t="str">
        <x:v>Air Wells</x:v>
      </x:c>
      <x:c r="C26" s="8" t="str">
        <x:v>airwell</x:v>
      </x:c>
      <x:c r="D26" s="8" t="str">
        <x:v>obstructions_permitted</x:v>
      </x:c>
      <x:c r="E26" s="8" t="str">
        <x:v>==</x:v>
      </x:c>
      <x:c r="F26" s="25" t="b">
        <x:v>0</x:v>
      </x:c>
      <x:c r="G26" s="8" t="str">
        <x:v>boolean</x:v>
      </x:c>
      <x:c r="H26" s="8" t="str">
        <x:v>internal airwell/courtyard for natural light/ventilation</x:v>
      </x:c>
      <x:c r="I26" s="8" t="str">
        <x:v>regulation</x:v>
      </x:c>
      <x:c r="J26" s="8" t="str">
        <x:v>hard</x:v>
      </x:c>
      <x:c r="K26" s="8" t="str">
        <x:v>SRC_0001</x:v>
      </x:c>
      <x:c r="L26" s="8" t="str">
        <x:v>2235-54_E.pdf</x:v>
      </x:c>
      <x:c r="M26" s="8" t="str">
        <x:v>71(2)</x:v>
      </x:c>
      <x:c r="N26" s="18" t="n">
        <x:v>22</x:v>
      </x:c>
      <x:c r="O26" s="8" t="str">
        <x:v>22A</x:v>
      </x:c>
      <x:c r="P26" s="8" t="str">
        <x:v>Sri Lanka declared Urban Development Areas; site/local-plan applicability and later amendments pending</x:v>
      </x:c>
      <x:c r="Q26" s="20" t="n">
        <x:v>44385</x:v>
      </x:c>
      <x:c r="R26" s="20"/>
      <x:c r="S26" s="8" t="str">
        <x:v>source_checked</x:v>
      </x:c>
      <x:c r="T26" s="8" t="str">
        <x:v>AI extraction; professional review pending</x:v>
      </x:c>
      <x:c r="U26" s="20" t="n">
        <x:v>46314</x:v>
      </x:c>
      <x:c r="V26" s="8" t="str">
        <x:v>pending</x:v>
      </x:c>
      <x:c r="W26" s="21" t="b">
        <x:v>0</x:v>
      </x:c>
      <x:c r="X26" s="8" t="str">
        <x:v>{"scope_review_required":true,"entity":"airwell","parameter":"obstructions_permitted","comparison":"==","threshold":false,"unit":"boolean","condition_text":"internal airwell/courtyard for natural light/ventilation"}</x:v>
      </x:c>
      <x:c r="Y26" s="8" t="str"/>
    </x:row>
    <x:row r="27" ht="84" customHeight="1">
      <x:c r="A27" s="11" t="str">
        <x:v>BM_0078</x:v>
      </x:c>
      <x:c r="B27" s="11" t="str">
        <x:v>Air Wells</x:v>
      </x:c>
      <x:c r="C27" s="11" t="str">
        <x:v>airwell</x:v>
      </x:c>
      <x:c r="D27" s="11" t="str">
        <x:v>projection_over_short_side</x:v>
      </x:c>
      <x:c r="E27" s="11" t="str">
        <x:v>&lt;=</x:v>
      </x:c>
      <x:c r="F27" s="12" t="n">
        <x:v>0.5</x:v>
      </x:c>
      <x:c r="G27" s="11" t="str">
        <x:v>m</x:v>
      </x:c>
      <x:c r="H27" s="11" t="str">
        <x:v>shortest side &lt;5 m; overhang/canopy/shading/eaves/balcony</x:v>
      </x:c>
      <x:c r="I27" s="11" t="str">
        <x:v>regulation</x:v>
      </x:c>
      <x:c r="J27" s="11" t="str">
        <x:v>hard</x:v>
      </x:c>
      <x:c r="K27" s="11" t="str">
        <x:v>SRC_0001</x:v>
      </x:c>
      <x:c r="L27" s="11" t="str">
        <x:v>2235-54_E.pdf</x:v>
      </x:c>
      <x:c r="M27" s="11" t="str">
        <x:v>71(3)</x:v>
      </x:c>
      <x:c r="N27" s="22" t="n">
        <x:v>22</x:v>
      </x:c>
      <x:c r="O27" s="11" t="str">
        <x:v>22A</x:v>
      </x:c>
      <x:c r="P27" s="11" t="str">
        <x:v>Sri Lanka declared Urban Development Areas; site/local-plan applicability and later amendments pending</x:v>
      </x:c>
      <x:c r="Q27" s="23" t="n">
        <x:v>44385</x:v>
      </x:c>
      <x:c r="R27" s="23"/>
      <x:c r="S27" s="11" t="str">
        <x:v>source_checked</x:v>
      </x:c>
      <x:c r="T27" s="11" t="str">
        <x:v>AI extraction; professional review pending</x:v>
      </x:c>
      <x:c r="U27" s="23" t="n">
        <x:v>46314</x:v>
      </x:c>
      <x:c r="V27" s="11" t="str">
        <x:v>pending</x:v>
      </x:c>
      <x:c r="W27" s="24" t="b">
        <x:v>0</x:v>
      </x:c>
      <x:c r="X27" s="11" t="str">
        <x:v>{"scope_review_required":true,"entity":"airwell","parameter":"projection_over_short_side","comparison":"&lt;=","threshold":0.5,"unit":"m","condition_text":"shortest side &lt;5 m; overhang/canopy/shading/eaves/balcony"}</x:v>
      </x:c>
      <x:c r="Y27" s="11" t="str"/>
    </x:row>
    <x:row r="28" ht="84" customHeight="1">
      <x:c r="A28" s="8" t="str">
        <x:v>BM_0079</x:v>
      </x:c>
      <x:c r="B28" s="8" t="str">
        <x:v>Air Wells</x:v>
      </x:c>
      <x:c r="C28" s="8" t="str">
        <x:v>courtyard</x:v>
      </x:c>
      <x:c r="D28" s="8" t="str">
        <x:v>drainage_required</x:v>
      </x:c>
      <x:c r="E28" s="8" t="str">
        <x:v>==</x:v>
      </x:c>
      <x:c r="F28" s="25" t="b">
        <x:v>1</x:v>
      </x:c>
      <x:c r="G28" s="8" t="str">
        <x:v>boolean</x:v>
      </x:c>
      <x:c r="H28" s="8" t="str">
        <x:v>paved or turfed internal courtyard maintained as garden</x:v>
      </x:c>
      <x:c r="I28" s="8" t="str">
        <x:v>regulation</x:v>
      </x:c>
      <x:c r="J28" s="8" t="str">
        <x:v>hard</x:v>
      </x:c>
      <x:c r="K28" s="8" t="str">
        <x:v>SRC_0001</x:v>
      </x:c>
      <x:c r="L28" s="8" t="str">
        <x:v>2235-54_E.pdf</x:v>
      </x:c>
      <x:c r="M28" s="8" t="str">
        <x:v>71(4)</x:v>
      </x:c>
      <x:c r="N28" s="18" t="n">
        <x:v>22</x:v>
      </x:c>
      <x:c r="O28" s="8" t="str">
        <x:v>22A</x:v>
      </x:c>
      <x:c r="P28" s="8" t="str">
        <x:v>Sri Lanka declared Urban Development Areas; site/local-plan applicability and later amendments pending</x:v>
      </x:c>
      <x:c r="Q28" s="20" t="n">
        <x:v>44385</x:v>
      </x:c>
      <x:c r="R28" s="20"/>
      <x:c r="S28" s="8" t="str">
        <x:v>source_checked</x:v>
      </x:c>
      <x:c r="T28" s="8" t="str">
        <x:v>AI extraction; professional review pending</x:v>
      </x:c>
      <x:c r="U28" s="20" t="n">
        <x:v>46314</x:v>
      </x:c>
      <x:c r="V28" s="8" t="str">
        <x:v>pending</x:v>
      </x:c>
      <x:c r="W28" s="21" t="b">
        <x:v>0</x:v>
      </x:c>
      <x:c r="X28" s="8" t="str">
        <x:v>{"scope_review_required":true,"entity":"courtyard","parameter":"drainage_required","comparison":"==","threshold":true,"unit":"boolean","condition_text":"paved or turfed internal courtyard maintained as garden"}</x:v>
      </x:c>
      <x:c r="Y28" s="8" t="str"/>
    </x:row>
  </x:sheetData>
  <x:conditionalFormatting sqref="S2:S28">
    <x:cfRule type="containsText" dxfId="12" priority="1" operator="containsText" text="pending"/>
    <x:cfRule type="containsText" dxfId="13" priority="2" operator="containsText" text="conflict"/>
  </x:conditionalFormatting>
  <x:conditionalFormatting sqref="V2:V28">
    <x:cfRule type="containsText" dxfId="14" priority="3" operator="containsText" text="pending"/>
    <x:cfRule type="containsText" dxfId="15" priority="4" operator="containsText" text="conflict"/>
  </x:conditionalFormatting>
  <x:pageMargins left="0.7" right="0.7" top="0.75" bottom="0.75" header="0.3" footer="0.3"/>
  <x:tableParts count="1">
    <x:tablePart xmlns:r="http://schemas.openxmlformats.org/officeDocument/2006/relationships" r:id="R5dfda601282743e6"/>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32" hidden="0" customWidth="1"/>
    <x:col min="4" max="4" width="32" hidden="0" customWidth="1"/>
    <x:col min="5" max="5" width="22" hidden="0" customWidth="1"/>
    <x:col min="6" max="6" width="22" hidden="0" customWidth="1"/>
    <x:col min="7" max="7" width="22" hidden="0" customWidth="1"/>
    <x:col min="8" max="8" width="62" hidden="0" customWidth="1"/>
    <x:col min="9" max="9" width="22" hidden="0" customWidth="1"/>
    <x:col min="10" max="10" width="22" hidden="0" customWidth="1"/>
    <x:col min="11" max="11" width="22" hidden="0" customWidth="1"/>
    <x:col min="12" max="12" width="32" hidden="0" customWidth="1"/>
    <x:col min="13" max="13" width="32" hidden="0" customWidth="1"/>
    <x:col min="14" max="14" width="22" hidden="0" customWidth="1"/>
    <x:col min="15" max="15" width="22" hidden="0" customWidth="1"/>
    <x:col min="16" max="16" width="32" hidden="0" customWidth="1"/>
    <x:col min="17" max="17" width="22" hidden="0" customWidth="1"/>
    <x:col min="18" max="18" width="22" hidden="0" customWidth="1"/>
    <x:col min="19" max="19" width="32" hidden="0" customWidth="1"/>
    <x:col min="20" max="20" width="32" hidden="0" customWidth="1"/>
    <x:col min="21" max="21" width="22" hidden="0" customWidth="1"/>
    <x:col min="22" max="22" width="22" hidden="0" customWidth="1"/>
    <x:col min="23" max="23" width="22" hidden="0" customWidth="1"/>
    <x:col min="24" max="24" width="62" hidden="0" customWidth="1"/>
    <x:col min="25" max="25" width="62" hidden="0" customWidth="1"/>
  </x:cols>
  <x:sheetData>
    <x:row r="1" ht="44" customHeight="1">
      <x:c r="A1" s="7" t="str">
        <x:v>rule_id</x:v>
      </x:c>
      <x:c r="B1" s="7" t="str">
        <x:v>category</x:v>
      </x:c>
      <x:c r="C1" s="7" t="str">
        <x:v>entity</x:v>
      </x:c>
      <x:c r="D1" s="7" t="str">
        <x:v>parameter</x:v>
      </x:c>
      <x:c r="E1" s="7" t="str">
        <x:v>operator</x:v>
      </x:c>
      <x:c r="F1" s="9" t="str">
        <x:v>value</x:v>
      </x:c>
      <x:c r="G1" s="7" t="str">
        <x:v>unit</x:v>
      </x:c>
      <x:c r="H1" s="7" t="str">
        <x:v>condition</x:v>
      </x:c>
      <x:c r="I1" s="7" t="str">
        <x:v>rule_type</x:v>
      </x:c>
      <x:c r="J1" s="7" t="str">
        <x:v>severity</x:v>
      </x:c>
      <x:c r="K1" s="7" t="str">
        <x:v>source_id</x:v>
      </x:c>
      <x:c r="L1" s="7" t="str">
        <x:v>source_document</x:v>
      </x:c>
      <x:c r="M1" s="7" t="str">
        <x:v>source_clause</x:v>
      </x:c>
      <x:c r="N1" s="17" t="str">
        <x:v>pdf_page</x:v>
      </x:c>
      <x:c r="O1" s="7" t="str">
        <x:v>printed_page</x:v>
      </x:c>
      <x:c r="P1" s="7" t="str">
        <x:v>jurisdiction</x:v>
      </x:c>
      <x:c r="Q1" s="19" t="str">
        <x:v>source_date</x:v>
      </x:c>
      <x:c r="R1" s="19" t="str">
        <x:v>effective_date</x:v>
      </x:c>
      <x:c r="S1" s="7" t="str">
        <x:v>verification_status</x:v>
      </x:c>
      <x:c r="T1" s="7" t="str">
        <x:v>verified_by</x:v>
      </x:c>
      <x:c r="U1" s="19" t="str">
        <x:v>checked_on</x:v>
      </x:c>
      <x:c r="V1" s="7" t="str">
        <x:v>applicability_status</x:v>
      </x:c>
      <x:c r="W1" s="7" t="str">
        <x:v>enable_in_production</x:v>
      </x:c>
      <x:c r="X1" s="7" t="str">
        <x:v>condition_json</x:v>
      </x:c>
      <x:c r="Y1" s="7" t="str">
        <x:v>notes</x:v>
      </x:c>
    </x:row>
    <x:row r="2" ht="70" customHeight="1">
      <x:c r="A2" s="8" t="str">
        <x:v>BM_0080</x:v>
      </x:c>
      <x:c r="B2" s="8" t="str">
        <x:v>Planning</x:v>
      </x:c>
      <x:c r="C2" s="8" t="str">
        <x:v>maintenance_open_space</x:v>
      </x:c>
      <x:c r="D2" s="8" t="str">
        <x:v>width</x:v>
      </x:c>
      <x:c r="E2" s="8" t="str">
        <x:v>&gt;=</x:v>
      </x:c>
      <x:c r="F2" s="10" t="n">
        <x:v>1</x:v>
      </x:c>
      <x:c r="G2" s="8" t="str">
        <x:v>m</x:v>
      </x:c>
      <x:c r="H2" s="8" t="str">
        <x:v>space provided for maintenance/separation</x:v>
      </x:c>
      <x:c r="I2" s="8" t="str">
        <x:v>regulation</x:v>
      </x:c>
      <x:c r="J2" s="8" t="str">
        <x:v>hard</x:v>
      </x:c>
      <x:c r="K2" s="8" t="str">
        <x:v>SRC_0001</x:v>
      </x:c>
      <x:c r="L2" s="8" t="str">
        <x:v>2235-54_E.pdf</x:v>
      </x:c>
      <x:c r="M2" s="8" t="str">
        <x:v>55(2)</x:v>
      </x:c>
      <x:c r="N2" s="18" t="n">
        <x:v>17</x:v>
      </x:c>
      <x:c r="O2" s="8" t="str">
        <x:v>17A</x:v>
      </x:c>
      <x:c r="P2" s="8" t="str">
        <x:v>Sri Lanka declared Urban Development Areas; site/local-plan applicability and later amendments pending</x:v>
      </x:c>
      <x:c r="Q2" s="20" t="n">
        <x:v>44385</x:v>
      </x:c>
      <x:c r="R2" s="20"/>
      <x:c r="S2" s="8" t="str">
        <x:v>source_checked</x:v>
      </x:c>
      <x:c r="T2" s="8" t="str">
        <x:v>AI extraction; professional review pending</x:v>
      </x:c>
      <x:c r="U2" s="20" t="n">
        <x:v>46314</x:v>
      </x:c>
      <x:c r="V2" s="8" t="str">
        <x:v>pending</x:v>
      </x:c>
      <x:c r="W2" s="21" t="b">
        <x:v>0</x:v>
      </x:c>
      <x:c r="X2" s="8" t="str">
        <x:v>{"scope_review_required":true,"entity":"maintenance_open_space","parameter":"width","comparison":"&gt;=","threshold":1,"unit":"m","condition_text":"space provided for maintenance/separation"}</x:v>
      </x:c>
      <x:c r="Y2" s="8" t="str"/>
    </x:row>
    <x:row r="3" ht="84" customHeight="1">
      <x:c r="A3" s="11" t="str">
        <x:v>BM_0081</x:v>
      </x:c>
      <x:c r="B3" s="11" t="str">
        <x:v>Planning</x:v>
      </x:c>
      <x:c r="C3" s="11" t="str">
        <x:v>road_edge</x:v>
      </x:c>
      <x:c r="D3" s="11" t="str">
        <x:v>setback</x:v>
      </x:c>
      <x:c r="E3" s="11" t="str">
        <x:v>&gt;=</x:v>
      </x:c>
      <x:c r="F3" s="12" t="n">
        <x:v>1</x:v>
      </x:c>
      <x:c r="G3" s="11" t="str">
        <x:v>m</x:v>
      </x:c>
      <x:c r="H3" s="11" t="str">
        <x:v>ONLY if no building line, street line or other road reservation prescribed</x:v>
      </x:c>
      <x:c r="I3" s="11" t="str">
        <x:v>regulation</x:v>
      </x:c>
      <x:c r="J3" s="11" t="str">
        <x:v>hard</x:v>
      </x:c>
      <x:c r="K3" s="11" t="str">
        <x:v>SRC_0001</x:v>
      </x:c>
      <x:c r="L3" s="11" t="str">
        <x:v>2235-54_E.pdf</x:v>
      </x:c>
      <x:c r="M3" s="11" t="str">
        <x:v>55(3)</x:v>
      </x:c>
      <x:c r="N3" s="22" t="n">
        <x:v>17</x:v>
      </x:c>
      <x:c r="O3" s="11" t="str">
        <x:v>17A</x:v>
      </x:c>
      <x:c r="P3" s="11" t="str">
        <x:v>Sri Lanka declared Urban Development Areas; site/local-plan applicability and later amendments pending</x:v>
      </x:c>
      <x:c r="Q3" s="23" t="n">
        <x:v>44385</x:v>
      </x:c>
      <x:c r="R3" s="23"/>
      <x:c r="S3" s="11" t="str">
        <x:v>source_checked</x:v>
      </x:c>
      <x:c r="T3" s="11" t="str">
        <x:v>AI extraction; professional review pending</x:v>
      </x:c>
      <x:c r="U3" s="23" t="n">
        <x:v>46314</x:v>
      </x:c>
      <x:c r="V3" s="11" t="str">
        <x:v>pending</x:v>
      </x:c>
      <x:c r="W3" s="24" t="b">
        <x:v>0</x:v>
      </x:c>
      <x:c r="X3" s="11" t="str">
        <x:v>{"scope_review_required":true,"entity":"road_edge","parameter":"setback","comparison":"&gt;=","threshold":1,"unit":"m","condition_text":"ONLY if no building line, street line or other road reservation prescribed"}</x:v>
      </x:c>
      <x:c r="Y3" s="11" t="str"/>
    </x:row>
    <x:row r="4" ht="84" customHeight="1">
      <x:c r="A4" s="8" t="str">
        <x:v>BM_0082</x:v>
      </x:c>
      <x:c r="B4" s="8" t="str">
        <x:v>Planning</x:v>
      </x:c>
      <x:c r="C4" s="8" t="str">
        <x:v>required_external_open_space</x:v>
      </x:c>
      <x:c r="D4" s="8" t="str">
        <x:v>impermeable_cover_fraction</x:v>
      </x:c>
      <x:c r="E4" s="8" t="str">
        <x:v>&lt;=</x:v>
      </x:c>
      <x:c r="F4" s="10" t="n">
        <x:v>0.5</x:v>
      </x:c>
      <x:c r="G4" s="8" t="str">
        <x:v>ratio</x:v>
      </x:c>
      <x:c r="H4" s="8" t="str">
        <x:v>50% must remain not covered with impermeable material</x:v>
      </x:c>
      <x:c r="I4" s="8" t="str">
        <x:v>regulation</x:v>
      </x:c>
      <x:c r="J4" s="8" t="str">
        <x:v>hard</x:v>
      </x:c>
      <x:c r="K4" s="8" t="str">
        <x:v>SRC_0001</x:v>
      </x:c>
      <x:c r="L4" s="8" t="str">
        <x:v>2235-54_E.pdf</x:v>
      </x:c>
      <x:c r="M4" s="8" t="str">
        <x:v>55(4)(a)</x:v>
      </x:c>
      <x:c r="N4" s="18" t="n">
        <x:v>17</x:v>
      </x:c>
      <x:c r="O4" s="8" t="str">
        <x:v>17A</x:v>
      </x:c>
      <x:c r="P4" s="8" t="str">
        <x:v>Sri Lanka declared Urban Development Areas; site/local-plan applicability and later amendments pending</x:v>
      </x:c>
      <x:c r="Q4" s="20" t="n">
        <x:v>44385</x:v>
      </x:c>
      <x:c r="R4" s="20"/>
      <x:c r="S4" s="8" t="str">
        <x:v>source_checked</x:v>
      </x:c>
      <x:c r="T4" s="8" t="str">
        <x:v>AI extraction; professional review pending</x:v>
      </x:c>
      <x:c r="U4" s="20" t="n">
        <x:v>46314</x:v>
      </x:c>
      <x:c r="V4" s="8" t="str">
        <x:v>pending</x:v>
      </x:c>
      <x:c r="W4" s="21" t="b">
        <x:v>0</x:v>
      </x:c>
      <x:c r="X4" s="8" t="str">
        <x:v>{"scope_review_required":true,"entity":"required_external_open_space","parameter":"impermeable_cover_fraction","comparison":"&lt;=","threshold":0.5,"unit":"ratio","condition_text":"50% must remain not covered with impermeable material"}</x:v>
      </x:c>
      <x:c r="Y4" s="8" t="str"/>
    </x:row>
    <x:row r="5" ht="84" customHeight="1">
      <x:c r="A5" s="11" t="str">
        <x:v>BM_0083</x:v>
      </x:c>
      <x:c r="B5" s="11" t="str">
        <x:v>Planning</x:v>
      </x:c>
      <x:c r="C5" s="11" t="str">
        <x:v>irregular_plot</x:v>
      </x:c>
      <x:c r="D5" s="11" t="str">
        <x:v>frontage</x:v>
      </x:c>
      <x:c r="E5" s="11" t="str">
        <x:v>&gt;=</x:v>
      </x:c>
      <x:c r="F5" s="12" t="n">
        <x:v>3</x:v>
      </x:c>
      <x:c r="G5" s="11" t="str">
        <x:v>m</x:v>
      </x:c>
      <x:c r="H5" s="11" t="str">
        <x:v>irregular plot; development starts beyond point plot reaches 6m width</x:v>
      </x:c>
      <x:c r="I5" s="11" t="str">
        <x:v>regulation</x:v>
      </x:c>
      <x:c r="J5" s="11" t="str">
        <x:v>hard</x:v>
      </x:c>
      <x:c r="K5" s="11" t="str">
        <x:v>SRC_0001</x:v>
      </x:c>
      <x:c r="L5" s="11" t="str">
        <x:v>2235-54_E.pdf</x:v>
      </x:c>
      <x:c r="M5" s="11" t="str">
        <x:v>56(2)</x:v>
      </x:c>
      <x:c r="N5" s="22" t="n">
        <x:v>17</x:v>
      </x:c>
      <x:c r="O5" s="11" t="str">
        <x:v>17A</x:v>
      </x:c>
      <x:c r="P5" s="11" t="str">
        <x:v>Sri Lanka declared Urban Development Areas; site/local-plan applicability and later amendments pending</x:v>
      </x:c>
      <x:c r="Q5" s="23" t="n">
        <x:v>44385</x:v>
      </x:c>
      <x:c r="R5" s="23"/>
      <x:c r="S5" s="11" t="str">
        <x:v>source_checked</x:v>
      </x:c>
      <x:c r="T5" s="11" t="str">
        <x:v>AI extraction; professional review pending</x:v>
      </x:c>
      <x:c r="U5" s="23" t="n">
        <x:v>46314</x:v>
      </x:c>
      <x:c r="V5" s="11" t="str">
        <x:v>pending</x:v>
      </x:c>
      <x:c r="W5" s="24" t="b">
        <x:v>0</x:v>
      </x:c>
      <x:c r="X5" s="11" t="str">
        <x:v>{"scope_review_required":true,"entity":"irregular_plot","parameter":"frontage","comparison":"&gt;=","threshold":3,"unit":"m","condition_text":"irregular plot; development starts beyond point plot reaches 6m width"}</x:v>
      </x:c>
      <x:c r="Y5" s="11" t="str"/>
    </x:row>
    <x:row r="6" ht="84" customHeight="1">
      <x:c r="A6" s="8" t="str">
        <x:v>BM_0084</x:v>
      </x:c>
      <x:c r="B6" s="8" t="str">
        <x:v>Planning</x:v>
      </x:c>
      <x:c r="C6" s="8" t="str">
        <x:v>irregular_plot</x:v>
      </x:c>
      <x:c r="D6" s="8" t="str">
        <x:v>width_at_development_start</x:v>
      </x:c>
      <x:c r="E6" s="8" t="str">
        <x:v>&gt;=</x:v>
      </x:c>
      <x:c r="F6" s="10" t="n">
        <x:v>6</x:v>
      </x:c>
      <x:c r="G6" s="8" t="str">
        <x:v>m</x:v>
      </x:c>
      <x:c r="H6" s="8" t="str">
        <x:v>irregular plot; frontage rule also applies</x:v>
      </x:c>
      <x:c r="I6" s="8" t="str">
        <x:v>regulation</x:v>
      </x:c>
      <x:c r="J6" s="8" t="str">
        <x:v>hard</x:v>
      </x:c>
      <x:c r="K6" s="8" t="str">
        <x:v>SRC_0001</x:v>
      </x:c>
      <x:c r="L6" s="8" t="str">
        <x:v>2235-54_E.pdf</x:v>
      </x:c>
      <x:c r="M6" s="8" t="str">
        <x:v>56(2)</x:v>
      </x:c>
      <x:c r="N6" s="18" t="n">
        <x:v>17</x:v>
      </x:c>
      <x:c r="O6" s="8" t="str">
        <x:v>17A</x:v>
      </x:c>
      <x:c r="P6" s="8" t="str">
        <x:v>Sri Lanka declared Urban Development Areas; site/local-plan applicability and later amendments pending</x:v>
      </x:c>
      <x:c r="Q6" s="20" t="n">
        <x:v>44385</x:v>
      </x:c>
      <x:c r="R6" s="20"/>
      <x:c r="S6" s="8" t="str">
        <x:v>source_checked</x:v>
      </x:c>
      <x:c r="T6" s="8" t="str">
        <x:v>AI extraction; professional review pending</x:v>
      </x:c>
      <x:c r="U6" s="20" t="n">
        <x:v>46314</x:v>
      </x:c>
      <x:c r="V6" s="8" t="str">
        <x:v>pending</x:v>
      </x:c>
      <x:c r="W6" s="21" t="b">
        <x:v>0</x:v>
      </x:c>
      <x:c r="X6" s="8" t="str">
        <x:v>{"scope_review_required":true,"entity":"irregular_plot","parameter":"width_at_development_start","comparison":"&gt;=","threshold":6,"unit":"m","condition_text":"irregular plot; frontage rule also applies"}</x:v>
      </x:c>
      <x:c r="Y6" s="8" t="str"/>
    </x:row>
    <x:row r="7" ht="70" customHeight="1">
      <x:c r="A7" s="11" t="str">
        <x:v>BM_0085</x:v>
      </x:c>
      <x:c r="B7" s="11" t="str">
        <x:v>Planning</x:v>
      </x:c>
      <x:c r="C7" s="11" t="str">
        <x:v>boundary_wall</x:v>
      </x:c>
      <x:c r="D7" s="11" t="str">
        <x:v>height</x:v>
      </x:c>
      <x:c r="E7" s="11" t="str">
        <x:v>&lt;=</x:v>
      </x:c>
      <x:c r="F7" s="12" t="n">
        <x:v>2</x:v>
      </x:c>
      <x:c r="G7" s="11" t="str">
        <x:v>m</x:v>
      </x:c>
      <x:c r="H7" s="11" t="str">
        <x:v>excludes gate; unless otherwise specified locally</x:v>
      </x:c>
      <x:c r="I7" s="11" t="str">
        <x:v>regulation</x:v>
      </x:c>
      <x:c r="J7" s="11" t="str">
        <x:v>hard</x:v>
      </x:c>
      <x:c r="K7" s="11" t="str">
        <x:v>SRC_0001</x:v>
      </x:c>
      <x:c r="L7" s="11" t="str">
        <x:v>2235-54_E.pdf</x:v>
      </x:c>
      <x:c r="M7" s="11" t="str">
        <x:v>57(2)</x:v>
      </x:c>
      <x:c r="N7" s="22" t="n">
        <x:v>18</x:v>
      </x:c>
      <x:c r="O7" s="11" t="str">
        <x:v>18A</x:v>
      </x:c>
      <x:c r="P7" s="11" t="str">
        <x:v>Sri Lanka declared Urban Development Areas; site/local-plan applicability and later amendments pending</x:v>
      </x:c>
      <x:c r="Q7" s="23" t="n">
        <x:v>44385</x:v>
      </x:c>
      <x:c r="R7" s="23"/>
      <x:c r="S7" s="11" t="str">
        <x:v>source_checked</x:v>
      </x:c>
      <x:c r="T7" s="11" t="str">
        <x:v>AI extraction; professional review pending</x:v>
      </x:c>
      <x:c r="U7" s="23" t="n">
        <x:v>46314</x:v>
      </x:c>
      <x:c r="V7" s="11" t="str">
        <x:v>pending</x:v>
      </x:c>
      <x:c r="W7" s="24" t="b">
        <x:v>0</x:v>
      </x:c>
      <x:c r="X7" s="11" t="str">
        <x:v>{"scope_review_required":true,"entity":"boundary_wall","parameter":"height","comparison":"&lt;=","threshold":2,"unit":"m","condition_text":"excludes gate; unless otherwise specified locally"}</x:v>
      </x:c>
      <x:c r="Y7" s="11" t="str"/>
    </x:row>
    <x:row r="8" ht="84" customHeight="1">
      <x:c r="A8" s="8" t="str">
        <x:v>BM_0086</x:v>
      </x:c>
      <x:c r="B8" s="8" t="str">
        <x:v>Planning</x:v>
      </x:c>
      <x:c r="C8" s="8" t="str">
        <x:v>basement_excavation</x:v>
      </x:c>
      <x:c r="D8" s="8" t="str">
        <x:v>distance_to_boundary</x:v>
      </x:c>
      <x:c r="E8" s="8" t="str">
        <x:v>&gt;=</x:v>
      </x:c>
      <x:c r="F8" s="10" t="n">
        <x:v>1</x:v>
      </x:c>
      <x:c r="G8" s="8" t="str">
        <x:v>m</x:v>
      </x:c>
      <x:c r="H8" s="8" t="str">
        <x:v>engineer may increase; street/building lines and NBRO conditions also apply</x:v>
      </x:c>
      <x:c r="I8" s="8" t="str">
        <x:v>regulation</x:v>
      </x:c>
      <x:c r="J8" s="8" t="str">
        <x:v>hard</x:v>
      </x:c>
      <x:c r="K8" s="8" t="str">
        <x:v>SRC_0001</x:v>
      </x:c>
      <x:c r="L8" s="8" t="str">
        <x:v>2235-54_E.pdf</x:v>
      </x:c>
      <x:c r="M8" s="8" t="str">
        <x:v>57(3)</x:v>
      </x:c>
      <x:c r="N8" s="18" t="n">
        <x:v>18</x:v>
      </x:c>
      <x:c r="O8" s="8" t="str">
        <x:v>18A</x:v>
      </x:c>
      <x:c r="P8" s="8" t="str">
        <x:v>Sri Lanka declared Urban Development Areas; site/local-plan applicability and later amendments pending</x:v>
      </x:c>
      <x:c r="Q8" s="20" t="n">
        <x:v>44385</x:v>
      </x:c>
      <x:c r="R8" s="20"/>
      <x:c r="S8" s="8" t="str">
        <x:v>source_checked</x:v>
      </x:c>
      <x:c r="T8" s="8" t="str">
        <x:v>AI extraction; professional review pending</x:v>
      </x:c>
      <x:c r="U8" s="20" t="n">
        <x:v>46314</x:v>
      </x:c>
      <x:c r="V8" s="8" t="str">
        <x:v>pending</x:v>
      </x:c>
      <x:c r="W8" s="21" t="b">
        <x:v>0</x:v>
      </x:c>
      <x:c r="X8" s="8" t="str">
        <x:v>{"scope_review_required":true,"entity":"basement_excavation","parameter":"distance_to_boundary","comparison":"&gt;=","threshold":1,"unit":"m","condition_text":"engineer may increase; street/building lines and NBRO conditions also apply"}</x:v>
      </x:c>
      <x:c r="Y8" s="8" t="str"/>
    </x:row>
    <x:row r="9" ht="84" customHeight="1">
      <x:c r="A9" s="11" t="str">
        <x:v>BM_0087</x:v>
      </x:c>
      <x:c r="B9" s="11" t="str">
        <x:v>Planning</x:v>
      </x:c>
      <x:c r="C9" s="11" t="str">
        <x:v>shading_projection</x:v>
      </x:c>
      <x:c r="D9" s="11" t="str">
        <x:v>beyond_building_line</x:v>
      </x:c>
      <x:c r="E9" s="11" t="str">
        <x:v>&lt;=</x:v>
      </x:c>
      <x:c r="F9" s="12" t="n">
        <x:v>1.2</x:v>
      </x:c>
      <x:c r="G9" s="11" t="str">
        <x:v>m</x:v>
      </x:c>
      <x:c r="H9" s="11" t="str">
        <x:v>may be permitted; cannot project beyond street line</x:v>
      </x:c>
      <x:c r="I9" s="11" t="str">
        <x:v>regulation</x:v>
      </x:c>
      <x:c r="J9" s="11" t="str">
        <x:v>hard</x:v>
      </x:c>
      <x:c r="K9" s="11" t="str">
        <x:v>SRC_0001</x:v>
      </x:c>
      <x:c r="L9" s="11" t="str">
        <x:v>2235-54_E.pdf</x:v>
      </x:c>
      <x:c r="M9" s="11" t="str">
        <x:v>60(1)</x:v>
      </x:c>
      <x:c r="N9" s="22" t="n">
        <x:v>18</x:v>
      </x:c>
      <x:c r="O9" s="11" t="str">
        <x:v>18A</x:v>
      </x:c>
      <x:c r="P9" s="11" t="str">
        <x:v>Sri Lanka declared Urban Development Areas; site/local-plan applicability and later amendments pending</x:v>
      </x:c>
      <x:c r="Q9" s="23" t="n">
        <x:v>44385</x:v>
      </x:c>
      <x:c r="R9" s="23"/>
      <x:c r="S9" s="11" t="str">
        <x:v>source_checked</x:v>
      </x:c>
      <x:c r="T9" s="11" t="str">
        <x:v>AI extraction; professional review pending</x:v>
      </x:c>
      <x:c r="U9" s="23" t="n">
        <x:v>46314</x:v>
      </x:c>
      <x:c r="V9" s="11" t="str">
        <x:v>pending</x:v>
      </x:c>
      <x:c r="W9" s="24" t="b">
        <x:v>0</x:v>
      </x:c>
      <x:c r="X9" s="11" t="str">
        <x:v>{"scope_review_required":true,"entity":"shading_projection","parameter":"beyond_building_line","comparison":"&lt;=","threshold":1.2,"unit":"m","condition_text":"may be permitted; cannot project beyond street line"}</x:v>
      </x:c>
      <x:c r="Y9" s="11" t="str"/>
    </x:row>
    <x:row r="10" ht="70" customHeight="1">
      <x:c r="A10" s="8" t="str">
        <x:v>BM_0088</x:v>
      </x:c>
      <x:c r="B10" s="8" t="str">
        <x:v>Planning</x:v>
      </x:c>
      <x:c r="C10" s="8" t="str">
        <x:v>balcony_terrace</x:v>
      </x:c>
      <x:c r="D10" s="8" t="str">
        <x:v>distance_to_adjacent_boundary</x:v>
      </x:c>
      <x:c r="E10" s="8" t="str">
        <x:v>&gt;=</x:v>
      </x:c>
      <x:c r="F10" s="10" t="n">
        <x:v>1</x:v>
      </x:c>
      <x:c r="G10" s="8" t="str">
        <x:v>m</x:v>
      </x:c>
      <x:c r="H10" s="8" t="str">
        <x:v>faces adjacent property</x:v>
      </x:c>
      <x:c r="I10" s="8" t="str">
        <x:v>regulation</x:v>
      </x:c>
      <x:c r="J10" s="8" t="str">
        <x:v>hard</x:v>
      </x:c>
      <x:c r="K10" s="8" t="str">
        <x:v>SRC_0001</x:v>
      </x:c>
      <x:c r="L10" s="8" t="str">
        <x:v>2235-54_E.pdf</x:v>
      </x:c>
      <x:c r="M10" s="8" t="str">
        <x:v>60(2)</x:v>
      </x:c>
      <x:c r="N10" s="18" t="n">
        <x:v>18</x:v>
      </x:c>
      <x:c r="O10" s="8" t="str">
        <x:v>18A</x:v>
      </x:c>
      <x:c r="P10" s="8" t="str">
        <x:v>Sri Lanka declared Urban Development Areas; site/local-plan applicability and later amendments pending</x:v>
      </x:c>
      <x:c r="Q10" s="20" t="n">
        <x:v>44385</x:v>
      </x:c>
      <x:c r="R10" s="20"/>
      <x:c r="S10" s="8" t="str">
        <x:v>source_checked</x:v>
      </x:c>
      <x:c r="T10" s="8" t="str">
        <x:v>AI extraction; professional review pending</x:v>
      </x:c>
      <x:c r="U10" s="20" t="n">
        <x:v>46314</x:v>
      </x:c>
      <x:c r="V10" s="8" t="str">
        <x:v>pending</x:v>
      </x:c>
      <x:c r="W10" s="21" t="b">
        <x:v>0</x:v>
      </x:c>
      <x:c r="X10" s="8" t="str">
        <x:v>{"scope_review_required":true,"entity":"balcony_terrace","parameter":"distance_to_adjacent_boundary","comparison":"&gt;=","threshold":1,"unit":"m","condition_text":"faces adjacent property"}</x:v>
      </x:c>
      <x:c r="Y10" s="8" t="str"/>
    </x:row>
    <x:row r="11" ht="84" customHeight="1">
      <x:c r="A11" s="11" t="str">
        <x:v>BM_0089</x:v>
      </x:c>
      <x:c r="B11" s="11" t="str">
        <x:v>Planning</x:v>
      </x:c>
      <x:c r="C11" s="11" t="str">
        <x:v>boundary_balcony</x:v>
      </x:c>
      <x:c r="D11" s="11" t="str">
        <x:v>guard_wall_height</x:v>
      </x:c>
      <x:c r="E11" s="11" t="str">
        <x:v>&gt;=</x:v>
      </x:c>
      <x:c r="F11" s="12" t="n">
        <x:v>2</x:v>
      </x:c>
      <x:c r="G11" s="11" t="str">
        <x:v>m</x:v>
      </x:c>
      <x:c r="H11" s="11" t="str">
        <x:v>balcony built to adjacent boundary; blind wall treatment</x:v>
      </x:c>
      <x:c r="I11" s="11" t="str">
        <x:v>regulation</x:v>
      </x:c>
      <x:c r="J11" s="11" t="str">
        <x:v>hard</x:v>
      </x:c>
      <x:c r="K11" s="11" t="str">
        <x:v>SRC_0001</x:v>
      </x:c>
      <x:c r="L11" s="11" t="str">
        <x:v>2235-54_E.pdf</x:v>
      </x:c>
      <x:c r="M11" s="11" t="str">
        <x:v>60(3)</x:v>
      </x:c>
      <x:c r="N11" s="22" t="n">
        <x:v>18</x:v>
      </x:c>
      <x:c r="O11" s="11" t="str">
        <x:v>18A</x:v>
      </x:c>
      <x:c r="P11" s="11" t="str">
        <x:v>Sri Lanka declared Urban Development Areas; site/local-plan applicability and later amendments pending</x:v>
      </x:c>
      <x:c r="Q11" s="23" t="n">
        <x:v>44385</x:v>
      </x:c>
      <x:c r="R11" s="23"/>
      <x:c r="S11" s="11" t="str">
        <x:v>source_checked</x:v>
      </x:c>
      <x:c r="T11" s="11" t="str">
        <x:v>AI extraction; professional review pending</x:v>
      </x:c>
      <x:c r="U11" s="23" t="n">
        <x:v>46314</x:v>
      </x:c>
      <x:c r="V11" s="11" t="str">
        <x:v>pending</x:v>
      </x:c>
      <x:c r="W11" s="24" t="b">
        <x:v>0</x:v>
      </x:c>
      <x:c r="X11" s="11" t="str">
        <x:v>{"scope_review_required":true,"entity":"boundary_balcony","parameter":"guard_wall_height","comparison":"&gt;=","threshold":2,"unit":"m","condition_text":"balcony built to adjacent boundary; blind wall treatment"}</x:v>
      </x:c>
      <x:c r="Y11" s="11" t="str"/>
    </x:row>
    <x:row r="12" ht="98" customHeight="1">
      <x:c r="A12" s="8" t="str">
        <x:v>BM_0090</x:v>
      </x:c>
      <x:c r="B12" s="8" t="str">
        <x:v>Planning</x:v>
      </x:c>
      <x:c r="C12" s="8" t="str">
        <x:v>rear_space</x:v>
      </x:c>
      <x:c r="D12" s="8" t="str">
        <x:v>definition</x:v>
      </x:c>
      <x:c r="E12" s="8" t="str">
        <x:v>definition</x:v>
      </x:c>
      <x:c r="F12" s="10"/>
      <x:c r="G12" s="8" t="str">
        <x:v>category</x:v>
      </x:c>
      <x:c r="H12" s="8" t="str">
        <x:v>side furthest from access road; multiple roads use widest right-of-way road unless authority directs otherwise</x:v>
      </x:c>
      <x:c r="I12" s="8" t="str">
        <x:v>regulation</x:v>
      </x:c>
      <x:c r="J12" s="8" t="str">
        <x:v>hard</x:v>
      </x:c>
      <x:c r="K12" s="8" t="str">
        <x:v>SRC_0001</x:v>
      </x:c>
      <x:c r="L12" s="8" t="str">
        <x:v>2235-54_E.pdf</x:v>
      </x:c>
      <x:c r="M12" s="8" t="str">
        <x:v>61(1)-(2)</x:v>
      </x:c>
      <x:c r="N12" s="18" t="n">
        <x:v>18</x:v>
      </x:c>
      <x:c r="O12" s="8" t="str">
        <x:v>18A</x:v>
      </x:c>
      <x:c r="P12" s="8" t="str">
        <x:v>Sri Lanka declared Urban Development Areas; site/local-plan applicability and later amendments pending</x:v>
      </x:c>
      <x:c r="Q12" s="20" t="n">
        <x:v>44385</x:v>
      </x:c>
      <x:c r="R12" s="20"/>
      <x:c r="S12" s="8" t="str">
        <x:v>source_checked</x:v>
      </x:c>
      <x:c r="T12" s="8" t="str">
        <x:v>AI extraction; professional review pending</x:v>
      </x:c>
      <x:c r="U12" s="20" t="n">
        <x:v>46314</x:v>
      </x:c>
      <x:c r="V12" s="8" t="str">
        <x:v>pending</x:v>
      </x:c>
      <x:c r="W12" s="21" t="b">
        <x:v>0</x:v>
      </x:c>
      <x:c r="X12" s="8" t="str">
        <x:v>{"scope_review_required":true,"entity":"rear_space","parameter":"definition","comparison":"definition","threshold":null,"unit":"category","condition_text":"side furthest from access road; multiple roads use widest right-of-way road unless authority directs otherwise"}</x:v>
      </x:c>
      <x:c r="Y12" s="8" t="str"/>
    </x:row>
    <x:row r="13" ht="98" customHeight="1">
      <x:c r="A13" s="11" t="str">
        <x:v>BM_0091</x:v>
      </x:c>
      <x:c r="B13" s="11" t="str">
        <x:v>Planning</x:v>
      </x:c>
      <x:c r="C13" s="11" t="str">
        <x:v>plot</x:v>
      </x:c>
      <x:c r="D13" s="11" t="str">
        <x:v>permissible_floor_area_basis</x:v>
      </x:c>
      <x:c r="E13" s="11" t="str">
        <x:v>reference</x:v>
      </x:c>
      <x:c r="F13" s="12"/>
      <x:c r="G13" s="11" t="str">
        <x:v>reference</x:v>
      </x:c>
      <x:c r="H13" s="11" t="str">
        <x:v>gazetted plan uses Schedule 6 A/B; no gazetted plan uses C/D; exclude street-line portion under 47</x:v>
      </x:c>
      <x:c r="I13" s="11" t="str">
        <x:v>regulation</x:v>
      </x:c>
      <x:c r="J13" s="11" t="str">
        <x:v>hard</x:v>
      </x:c>
      <x:c r="K13" s="11" t="str">
        <x:v>SRC_0001</x:v>
      </x:c>
      <x:c r="L13" s="11" t="str">
        <x:v>2235-54_E.pdf</x:v>
      </x:c>
      <x:c r="M13" s="11" t="str">
        <x:v>46-49</x:v>
      </x:c>
      <x:c r="N13" s="22" t="n">
        <x:v>16</x:v>
      </x:c>
      <x:c r="O13" s="11" t="str">
        <x:v>16A</x:v>
      </x:c>
      <x:c r="P13" s="11" t="str">
        <x:v>Sri Lanka declared Urban Development Areas; site/local-plan applicability and later amendments pending</x:v>
      </x:c>
      <x:c r="Q13" s="23" t="n">
        <x:v>44385</x:v>
      </x:c>
      <x:c r="R13" s="23"/>
      <x:c r="S13" s="11" t="str">
        <x:v>source_checked</x:v>
      </x:c>
      <x:c r="T13" s="11" t="str">
        <x:v>AI extraction; professional review pending</x:v>
      </x:c>
      <x:c r="U13" s="23" t="n">
        <x:v>46314</x:v>
      </x:c>
      <x:c r="V13" s="11" t="str">
        <x:v>pending</x:v>
      </x:c>
      <x:c r="W13" s="24" t="b">
        <x:v>0</x:v>
      </x:c>
      <x:c r="X13" s="11" t="str">
        <x:v>{"scope_review_required":true,"entity":"plot","parameter":"permissible_floor_area_basis","comparison":"reference","threshold":null,"unit":"reference","condition_text":"gazetted plan uses Schedule 6 A/B; no gazetted plan uses C/D; exclude street-line portion under 47"}</x:v>
      </x:c>
      <x:c r="Y13" s="11" t="str"/>
    </x:row>
    <x:row r="14" ht="84" customHeight="1">
      <x:c r="A14" s="8" t="str">
        <x:v>BM_0092</x:v>
      </x:c>
      <x:c r="B14" s="8" t="str">
        <x:v>Planning</x:v>
      </x:c>
      <x:c r="C14" s="8" t="str">
        <x:v>rear_side_space</x:v>
      </x:c>
      <x:c r="D14" s="8" t="str">
        <x:v>lookup_rule</x:v>
      </x:c>
      <x:c r="E14" s="8" t="str">
        <x:v>reference</x:v>
      </x:c>
      <x:c r="F14" s="10"/>
      <x:c r="G14" s="8" t="str">
        <x:v>reference</x:v>
      </x:c>
      <x:c r="H14" s="8" t="str">
        <x:v>Use Schedule 6 Form E plus applicable local plan; no universal front/rear setback</x:v>
      </x:c>
      <x:c r="I14" s="8" t="str">
        <x:v>regulation</x:v>
      </x:c>
      <x:c r="J14" s="8" t="str">
        <x:v>hard</x:v>
      </x:c>
      <x:c r="K14" s="8" t="str">
        <x:v>SRC_0001</x:v>
      </x:c>
      <x:c r="L14" s="8" t="str">
        <x:v>2235-54_E.pdf</x:v>
      </x:c>
      <x:c r="M14" s="8" t="str">
        <x:v>55(1)</x:v>
      </x:c>
      <x:c r="N14" s="18" t="n">
        <x:v>17</x:v>
      </x:c>
      <x:c r="O14" s="8" t="str">
        <x:v>17A</x:v>
      </x:c>
      <x:c r="P14" s="8" t="str">
        <x:v>Sri Lanka declared Urban Development Areas; site/local-plan applicability and later amendments pending</x:v>
      </x:c>
      <x:c r="Q14" s="20" t="n">
        <x:v>44385</x:v>
      </x:c>
      <x:c r="R14" s="20"/>
      <x:c r="S14" s="8" t="str">
        <x:v>source_checked</x:v>
      </x:c>
      <x:c r="T14" s="8" t="str">
        <x:v>AI extraction; professional review pending</x:v>
      </x:c>
      <x:c r="U14" s="20" t="n">
        <x:v>46314</x:v>
      </x:c>
      <x:c r="V14" s="8" t="str">
        <x:v>pending</x:v>
      </x:c>
      <x:c r="W14" s="21" t="b">
        <x:v>0</x:v>
      </x:c>
      <x:c r="X14" s="8" t="str">
        <x:v>{"scope_review_required":true,"entity":"rear_side_space","parameter":"lookup_rule","comparison":"reference","threshold":null,"unit":"reference","condition_text":"Use Schedule 6 Form E plus applicable local plan; no universal front/rear setback"}</x:v>
      </x:c>
      <x:c r="Y14" s="8" t="str"/>
    </x:row>
    <x:row r="15" ht="84" customHeight="1">
      <x:c r="A15" s="11" t="str">
        <x:v>BM_0093</x:v>
      </x:c>
      <x:c r="B15" s="11" t="str">
        <x:v>Planning</x:v>
      </x:c>
      <x:c r="C15" s="11" t="str">
        <x:v>boundary_construction</x:v>
      </x:c>
      <x:c r="D15" s="11" t="str">
        <x:v>blind_wall_required</x:v>
      </x:c>
      <x:c r="E15" s="11" t="str">
        <x:v>==</x:v>
      </x:c>
      <x:c r="F15" s="26" t="b">
        <x:v>1</x:v>
      </x:c>
      <x:c r="G15" s="11" t="str">
        <x:v>boolean</x:v>
      </x:c>
      <x:c r="H15" s="11" t="str">
        <x:v>construction on lot boundary; permit and supporting documents required</x:v>
      </x:c>
      <x:c r="I15" s="11" t="str">
        <x:v>regulation</x:v>
      </x:c>
      <x:c r="J15" s="11" t="str">
        <x:v>hard</x:v>
      </x:c>
      <x:c r="K15" s="11" t="str">
        <x:v>SRC_0001</x:v>
      </x:c>
      <x:c r="L15" s="11" t="str">
        <x:v>2235-54_E.pdf</x:v>
      </x:c>
      <x:c r="M15" s="11" t="str">
        <x:v>57(1)</x:v>
      </x:c>
      <x:c r="N15" s="22" t="n">
        <x:v>17</x:v>
      </x:c>
      <x:c r="O15" s="11" t="str">
        <x:v>17A</x:v>
      </x:c>
      <x:c r="P15" s="11" t="str">
        <x:v>Sri Lanka declared Urban Development Areas; site/local-plan applicability and later amendments pending</x:v>
      </x:c>
      <x:c r="Q15" s="23" t="n">
        <x:v>44385</x:v>
      </x:c>
      <x:c r="R15" s="23"/>
      <x:c r="S15" s="11" t="str">
        <x:v>source_checked</x:v>
      </x:c>
      <x:c r="T15" s="11" t="str">
        <x:v>AI extraction; professional review pending</x:v>
      </x:c>
      <x:c r="U15" s="23" t="n">
        <x:v>46314</x:v>
      </x:c>
      <x:c r="V15" s="11" t="str">
        <x:v>pending</x:v>
      </x:c>
      <x:c r="W15" s="24" t="b">
        <x:v>0</x:v>
      </x:c>
      <x:c r="X15" s="11" t="str">
        <x:v>{"scope_review_required":true,"entity":"boundary_construction","parameter":"blind_wall_required","comparison":"==","threshold":true,"unit":"boolean","condition_text":"construction on lot boundary; permit and supporting documents required"}</x:v>
      </x:c>
      <x:c r="Y15" s="11" t="str"/>
    </x:row>
    <x:row r="16" ht="84" customHeight="1">
      <x:c r="A16" s="8" t="str">
        <x:v>BM_0094</x:v>
      </x:c>
      <x:c r="B16" s="8" t="str">
        <x:v>Planning</x:v>
      </x:c>
      <x:c r="C16" s="8" t="str">
        <x:v>building_fixture</x:v>
      </x:c>
      <x:c r="D16" s="8" t="str">
        <x:v>street_projection_permitted</x:v>
      </x:c>
      <x:c r="E16" s="8" t="str">
        <x:v>==</x:v>
      </x:c>
      <x:c r="F16" s="25" t="b">
        <x:v>0</x:v>
      </x:c>
      <x:c r="G16" s="8" t="str">
        <x:v>boolean</x:v>
      </x:c>
      <x:c r="H16" s="8" t="str">
        <x:v>over street or beyond street/acquisition line</x:v>
      </x:c>
      <x:c r="I16" s="8" t="str">
        <x:v>regulation</x:v>
      </x:c>
      <x:c r="J16" s="8" t="str">
        <x:v>hard</x:v>
      </x:c>
      <x:c r="K16" s="8" t="str">
        <x:v>SRC_0001</x:v>
      </x:c>
      <x:c r="L16" s="8" t="str">
        <x:v>2235-54_E.pdf</x:v>
      </x:c>
      <x:c r="M16" s="8" t="str">
        <x:v>59</x:v>
      </x:c>
      <x:c r="N16" s="18" t="n">
        <x:v>18</x:v>
      </x:c>
      <x:c r="O16" s="8" t="str">
        <x:v>18A</x:v>
      </x:c>
      <x:c r="P16" s="8" t="str">
        <x:v>Sri Lanka declared Urban Development Areas; site/local-plan applicability and later amendments pending</x:v>
      </x:c>
      <x:c r="Q16" s="20" t="n">
        <x:v>44385</x:v>
      </x:c>
      <x:c r="R16" s="20"/>
      <x:c r="S16" s="8" t="str">
        <x:v>source_checked</x:v>
      </x:c>
      <x:c r="T16" s="8" t="str">
        <x:v>AI extraction; professional review pending</x:v>
      </x:c>
      <x:c r="U16" s="20" t="n">
        <x:v>46314</x:v>
      </x:c>
      <x:c r="V16" s="8" t="str">
        <x:v>pending</x:v>
      </x:c>
      <x:c r="W16" s="21" t="b">
        <x:v>0</x:v>
      </x:c>
      <x:c r="X16" s="8" t="str">
        <x:v>{"scope_review_required":true,"entity":"building_fixture","parameter":"street_projection_permitted","comparison":"==","threshold":false,"unit":"boolean","condition_text":"over street or beyond street/acquisition line"}</x:v>
      </x:c>
      <x:c r="Y16" s="8" t="str"/>
    </x:row>
    <x:row r="17" ht="70" customHeight="1">
      <x:c r="A17" s="11" t="str">
        <x:v>BM_0095</x:v>
      </x:c>
      <x:c r="B17" s="11" t="str">
        <x:v>Planning</x:v>
      </x:c>
      <x:c r="C17" s="11" t="str">
        <x:v>form_e</x:v>
      </x:c>
      <x:c r="D17" s="11" t="str">
        <x:v>site_frontage</x:v>
      </x:c>
      <x:c r="E17" s="11" t="str">
        <x:v>&gt;=</x:v>
      </x:c>
      <x:c r="F17" s="12" t="n">
        <x:v>6</x:v>
      </x:c>
      <x:c r="G17" s="11" t="str">
        <x:v>m</x:v>
      </x:c>
      <x:c r="H17" s="11" t="str">
        <x:v>h &lt; 7; h&gt;=75 requires ABOVE 40m, not &gt;=40m</x:v>
      </x:c>
      <x:c r="I17" s="11" t="str">
        <x:v>regulation</x:v>
      </x:c>
      <x:c r="J17" s="11" t="str">
        <x:v>hard</x:v>
      </x:c>
      <x:c r="K17" s="11" t="str">
        <x:v>SRC_0001</x:v>
      </x:c>
      <x:c r="L17" s="11" t="str">
        <x:v>2235-54_E.pdf</x:v>
      </x:c>
      <x:c r="M17" s="11" t="str">
        <x:v>Schedule 6 Form E</x:v>
      </x:c>
      <x:c r="N17" s="22" t="n">
        <x:v>122</x:v>
      </x:c>
      <x:c r="O17" s="11" t="str">
        <x:v>122A</x:v>
      </x:c>
      <x:c r="P17" s="11" t="str">
        <x:v>Sri Lanka declared Urban Development Areas; site/local-plan applicability and later amendments pending</x:v>
      </x:c>
      <x:c r="Q17" s="23" t="n">
        <x:v>44385</x:v>
      </x:c>
      <x:c r="R17" s="23"/>
      <x:c r="S17" s="11" t="str">
        <x:v>source_checked</x:v>
      </x:c>
      <x:c r="T17" s="11" t="str">
        <x:v>AI extraction; professional review pending</x:v>
      </x:c>
      <x:c r="U17" s="23" t="n">
        <x:v>46314</x:v>
      </x:c>
      <x:c r="V17" s="11" t="str">
        <x:v>pending</x:v>
      </x:c>
      <x:c r="W17" s="24" t="b">
        <x:v>0</x:v>
      </x:c>
      <x:c r="X17" s="11" t="str">
        <x:v>{"scope_review_required":true,"entity":"form_e","parameter":"site_frontage","comparison":"&gt;=","threshold":6,"unit":"m","condition_text":"h &lt; 7; h&gt;=75 requires ABOVE 40m, not &gt;=40m"}</x:v>
      </x:c>
      <x:c r="Y17" s="11" t="str">
        <x:v>Only areas where Forms A/B/C/D in effect. Building height from access-road level to top roof including parking floors.</x:v>
      </x:c>
    </x:row>
    <x:row r="18" ht="98" customHeight="1">
      <x:c r="A18" s="8" t="str">
        <x:v>BM_0096</x:v>
      </x:c>
      <x:c r="B18" s="8" t="str">
        <x:v>Planning</x:v>
      </x:c>
      <x:c r="C18" s="8" t="str">
        <x:v>form_e</x:v>
      </x:c>
      <x:c r="D18" s="8" t="str">
        <x:v>residential_plot_coverage</x:v>
      </x:c>
      <x:c r="E18" s="8" t="str">
        <x:v>&lt;=</x:v>
      </x:c>
      <x:c r="F18" s="10" t="n">
        <x:v>0.65</x:v>
      </x:c>
      <x:c r="G18" s="8" t="str">
        <x:v>ratio</x:v>
      </x:c>
      <x:c r="H18" s="8" t="str">
        <x:v>h &lt; 7; only where zoning plan does not specify coverage; highrise podium exception requires review</x:v>
      </x:c>
      <x:c r="I18" s="8" t="str">
        <x:v>regulation</x:v>
      </x:c>
      <x:c r="J18" s="8" t="str">
        <x:v>hard</x:v>
      </x:c>
      <x:c r="K18" s="8" t="str">
        <x:v>SRC_0001</x:v>
      </x:c>
      <x:c r="L18" s="8" t="str">
        <x:v>2235-54_E.pdf</x:v>
      </x:c>
      <x:c r="M18" s="8" t="str">
        <x:v>Schedule 6 Form E</x:v>
      </x:c>
      <x:c r="N18" s="18" t="n">
        <x:v>122</x:v>
      </x:c>
      <x:c r="O18" s="8" t="str">
        <x:v>122A</x:v>
      </x:c>
      <x:c r="P18" s="8" t="str">
        <x:v>Sri Lanka declared Urban Development Areas; site/local-plan applicability and later amendments pending</x:v>
      </x:c>
      <x:c r="Q18" s="20" t="n">
        <x:v>44385</x:v>
      </x:c>
      <x:c r="R18" s="20"/>
      <x:c r="S18" s="8" t="str">
        <x:v>source_checked</x:v>
      </x:c>
      <x:c r="T18" s="8" t="str">
        <x:v>AI extraction; professional review pending</x:v>
      </x:c>
      <x:c r="U18" s="20" t="n">
        <x:v>46314</x:v>
      </x:c>
      <x:c r="V18" s="8" t="str">
        <x:v>pending</x:v>
      </x:c>
      <x:c r="W18" s="21" t="b">
        <x:v>0</x:v>
      </x:c>
      <x:c r="X18" s="8" t="str">
        <x:v>{"scope_review_required":true,"entity":"form_e","parameter":"residential_plot_coverage","comparison":"&lt;=","threshold":0.65,"unit":"ratio","condition_text":"h &lt; 7; only where zoning plan does not specify coverage; highrise podium exception requires review"}</x:v>
      </x:c>
      <x:c r="Y18" s="8" t="str">
        <x:v>Only areas where Forms A/B/C/D in effect. Building height from access-road level to top roof including parking floors.</x:v>
      </x:c>
    </x:row>
    <x:row r="19" ht="84" customHeight="1">
      <x:c r="A19" s="11" t="str">
        <x:v>BM_0097</x:v>
      </x:c>
      <x:c r="B19" s="11" t="str">
        <x:v>Planning</x:v>
      </x:c>
      <x:c r="C19" s="11" t="str">
        <x:v>form_e</x:v>
      </x:c>
      <x:c r="D19" s="11" t="str">
        <x:v>rear_space_no_nlv</x:v>
      </x:c>
      <x:c r="E19" s="11" t="str">
        <x:v>&gt;=</x:v>
      </x:c>
      <x:c r="F19" s="12" t="n">
        <x:v>2.3</x:v>
      </x:c>
      <x:c r="G19" s="11" t="str">
        <x:v>m</x:v>
      </x:c>
      <x:c r="H19" s="11" t="str">
        <x:v>h &lt; 7; no natural light/ventilation taken from this end</x:v>
      </x:c>
      <x:c r="I19" s="11" t="str">
        <x:v>regulation</x:v>
      </x:c>
      <x:c r="J19" s="11" t="str">
        <x:v>hard</x:v>
      </x:c>
      <x:c r="K19" s="11" t="str">
        <x:v>SRC_0001</x:v>
      </x:c>
      <x:c r="L19" s="11" t="str">
        <x:v>2235-54_E.pdf</x:v>
      </x:c>
      <x:c r="M19" s="11" t="str">
        <x:v>Schedule 6 Form E</x:v>
      </x:c>
      <x:c r="N19" s="22" t="n">
        <x:v>122</x:v>
      </x:c>
      <x:c r="O19" s="11" t="str">
        <x:v>122A</x:v>
      </x:c>
      <x:c r="P19" s="11" t="str">
        <x:v>Sri Lanka declared Urban Development Areas; site/local-plan applicability and later amendments pending</x:v>
      </x:c>
      <x:c r="Q19" s="23" t="n">
        <x:v>44385</x:v>
      </x:c>
      <x:c r="R19" s="23"/>
      <x:c r="S19" s="11" t="str">
        <x:v>source_checked</x:v>
      </x:c>
      <x:c r="T19" s="11" t="str">
        <x:v>AI extraction; professional review pending</x:v>
      </x:c>
      <x:c r="U19" s="23" t="n">
        <x:v>46314</x:v>
      </x:c>
      <x:c r="V19" s="11" t="str">
        <x:v>pending</x:v>
      </x:c>
      <x:c r="W19" s="24" t="b">
        <x:v>0</x:v>
      </x:c>
      <x:c r="X19" s="11" t="str">
        <x:v>{"scope_review_required":true,"entity":"form_e","parameter":"rear_space_no_nlv","comparison":"&gt;=","threshold":2.3,"unit":"m","condition_text":"h &lt; 7; no natural light/ventilation taken from this end"}</x:v>
      </x:c>
      <x:c r="Y19" s="11" t="str">
        <x:v>Only areas where Forms A/B/C/D in effect. Building height from access-road level to top roof including parking floors.</x:v>
      </x:c>
    </x:row>
    <x:row r="20" ht="84" customHeight="1">
      <x:c r="A20" s="8" t="str">
        <x:v>BM_0098</x:v>
      </x:c>
      <x:c r="B20" s="8" t="str">
        <x:v>Planning</x:v>
      </x:c>
      <x:c r="C20" s="8" t="str">
        <x:v>form_e</x:v>
      </x:c>
      <x:c r="D20" s="8" t="str">
        <x:v>rear_space_with_nlv</x:v>
      </x:c>
      <x:c r="E20" s="8" t="str">
        <x:v>&gt;=</x:v>
      </x:c>
      <x:c r="F20" s="10" t="n">
        <x:v>2.3</x:v>
      </x:c>
      <x:c r="G20" s="8" t="str">
        <x:v>m</x:v>
      </x:c>
      <x:c r="H20" s="8" t="str">
        <x:v>h &lt; 7; natural light/ventilation taken from this end</x:v>
      </x:c>
      <x:c r="I20" s="8" t="str">
        <x:v>regulation</x:v>
      </x:c>
      <x:c r="J20" s="8" t="str">
        <x:v>hard</x:v>
      </x:c>
      <x:c r="K20" s="8" t="str">
        <x:v>SRC_0001</x:v>
      </x:c>
      <x:c r="L20" s="8" t="str">
        <x:v>2235-54_E.pdf</x:v>
      </x:c>
      <x:c r="M20" s="8" t="str">
        <x:v>Schedule 6 Form E</x:v>
      </x:c>
      <x:c r="N20" s="18" t="n">
        <x:v>122</x:v>
      </x:c>
      <x:c r="O20" s="8" t="str">
        <x:v>122A</x:v>
      </x:c>
      <x:c r="P20" s="8" t="str">
        <x:v>Sri Lanka declared Urban Development Areas; site/local-plan applicability and later amendments pending</x:v>
      </x:c>
      <x:c r="Q20" s="20" t="n">
        <x:v>44385</x:v>
      </x:c>
      <x:c r="R20" s="20"/>
      <x:c r="S20" s="8" t="str">
        <x:v>source_checked</x:v>
      </x:c>
      <x:c r="T20" s="8" t="str">
        <x:v>AI extraction; professional review pending</x:v>
      </x:c>
      <x:c r="U20" s="20" t="n">
        <x:v>46314</x:v>
      </x:c>
      <x:c r="V20" s="8" t="str">
        <x:v>pending</x:v>
      </x:c>
      <x:c r="W20" s="21" t="b">
        <x:v>0</x:v>
      </x:c>
      <x:c r="X20" s="8" t="str">
        <x:v>{"scope_review_required":true,"entity":"form_e","parameter":"rear_space_with_nlv","comparison":"&gt;=","threshold":2.3,"unit":"m","condition_text":"h &lt; 7; natural light/ventilation taken from this end"}</x:v>
      </x:c>
      <x:c r="Y20" s="8" t="str">
        <x:v>Only areas where Forms A/B/C/D in effect. Building height from access-road level to top roof including parking floors.</x:v>
      </x:c>
    </x:row>
    <x:row r="21" ht="84" customHeight="1">
      <x:c r="A21" s="11" t="str">
        <x:v>BM_0099</x:v>
      </x:c>
      <x:c r="B21" s="11" t="str">
        <x:v>Planning</x:v>
      </x:c>
      <x:c r="C21" s="11" t="str">
        <x:v>form_e</x:v>
      </x:c>
      <x:c r="D21" s="11" t="str">
        <x:v>side_space_with_nlv</x:v>
      </x:c>
      <x:c r="E21" s="11" t="str">
        <x:v>&gt;=</x:v>
      </x:c>
      <x:c r="F21" s="12" t="n">
        <x:v>2.3</x:v>
      </x:c>
      <x:c r="G21" s="11" t="str">
        <x:v>m</x:v>
      </x:c>
      <x:c r="H21" s="11" t="str">
        <x:v>h &lt; 7; natural light/ventilation taken from this end</x:v>
      </x:c>
      <x:c r="I21" s="11" t="str">
        <x:v>regulation</x:v>
      </x:c>
      <x:c r="J21" s="11" t="str">
        <x:v>hard</x:v>
      </x:c>
      <x:c r="K21" s="11" t="str">
        <x:v>SRC_0001</x:v>
      </x:c>
      <x:c r="L21" s="11" t="str">
        <x:v>2235-54_E.pdf</x:v>
      </x:c>
      <x:c r="M21" s="11" t="str">
        <x:v>Schedule 6 Form E</x:v>
      </x:c>
      <x:c r="N21" s="22" t="n">
        <x:v>122</x:v>
      </x:c>
      <x:c r="O21" s="11" t="str">
        <x:v>122A</x:v>
      </x:c>
      <x:c r="P21" s="11" t="str">
        <x:v>Sri Lanka declared Urban Development Areas; site/local-plan applicability and later amendments pending</x:v>
      </x:c>
      <x:c r="Q21" s="23" t="n">
        <x:v>44385</x:v>
      </x:c>
      <x:c r="R21" s="23"/>
      <x:c r="S21" s="11" t="str">
        <x:v>source_checked</x:v>
      </x:c>
      <x:c r="T21" s="11" t="str">
        <x:v>AI extraction; professional review pending</x:v>
      </x:c>
      <x:c r="U21" s="23" t="n">
        <x:v>46314</x:v>
      </x:c>
      <x:c r="V21" s="11" t="str">
        <x:v>pending</x:v>
      </x:c>
      <x:c r="W21" s="24" t="b">
        <x:v>0</x:v>
      </x:c>
      <x:c r="X21" s="11" t="str">
        <x:v>{"scope_review_required":true,"entity":"form_e","parameter":"side_space_with_nlv","comparison":"&gt;=","threshold":2.3,"unit":"m","condition_text":"h &lt; 7; natural light/ventilation taken from this end"}</x:v>
      </x:c>
      <x:c r="Y21" s="11" t="str">
        <x:v>Only areas where Forms A/B/C/D in effect. Building height from access-road level to top roof including parking floors.</x:v>
      </x:c>
    </x:row>
    <x:row r="22" ht="70" customHeight="1">
      <x:c r="A22" s="8" t="str">
        <x:v>BM_0100</x:v>
      </x:c>
      <x:c r="B22" s="8" t="str">
        <x:v>Planning</x:v>
      </x:c>
      <x:c r="C22" s="8" t="str">
        <x:v>form_e</x:v>
      </x:c>
      <x:c r="D22" s="8" t="str">
        <x:v>site_frontage</x:v>
      </x:c>
      <x:c r="E22" s="8" t="str">
        <x:v>&gt;=</x:v>
      </x:c>
      <x:c r="F22" s="10" t="n">
        <x:v>6</x:v>
      </x:c>
      <x:c r="G22" s="8" t="str">
        <x:v>m</x:v>
      </x:c>
      <x:c r="H22" s="8" t="str">
        <x:v>7 &lt;= h &lt; 15; h&gt;=75 requires ABOVE 40m, not &gt;=40m</x:v>
      </x:c>
      <x:c r="I22" s="8" t="str">
        <x:v>regulation</x:v>
      </x:c>
      <x:c r="J22" s="8" t="str">
        <x:v>hard</x:v>
      </x:c>
      <x:c r="K22" s="8" t="str">
        <x:v>SRC_0001</x:v>
      </x:c>
      <x:c r="L22" s="8" t="str">
        <x:v>2235-54_E.pdf</x:v>
      </x:c>
      <x:c r="M22" s="8" t="str">
        <x:v>Schedule 6 Form E</x:v>
      </x:c>
      <x:c r="N22" s="18" t="n">
        <x:v>122</x:v>
      </x:c>
      <x:c r="O22" s="8" t="str">
        <x:v>122A</x:v>
      </x:c>
      <x:c r="P22" s="8" t="str">
        <x:v>Sri Lanka declared Urban Development Areas; site/local-plan applicability and later amendments pending</x:v>
      </x:c>
      <x:c r="Q22" s="20" t="n">
        <x:v>44385</x:v>
      </x:c>
      <x:c r="R22" s="20"/>
      <x:c r="S22" s="8" t="str">
        <x:v>source_checked</x:v>
      </x:c>
      <x:c r="T22" s="8" t="str">
        <x:v>AI extraction; professional review pending</x:v>
      </x:c>
      <x:c r="U22" s="20" t="n">
        <x:v>46314</x:v>
      </x:c>
      <x:c r="V22" s="8" t="str">
        <x:v>pending</x:v>
      </x:c>
      <x:c r="W22" s="21" t="b">
        <x:v>0</x:v>
      </x:c>
      <x:c r="X22" s="8" t="str">
        <x:v>{"scope_review_required":true,"entity":"form_e","parameter":"site_frontage","comparison":"&gt;=","threshold":6,"unit":"m","condition_text":"7 &lt;= h &lt; 15; h&gt;=75 requires ABOVE 40m, not &gt;=40m"}</x:v>
      </x:c>
      <x:c r="Y22" s="8" t="str">
        <x:v>Only areas where Forms A/B/C/D in effect. Building height from access-road level to top roof including parking floors.</x:v>
      </x:c>
    </x:row>
    <x:row r="23" ht="98" customHeight="1">
      <x:c r="A23" s="11" t="str">
        <x:v>BM_0101</x:v>
      </x:c>
      <x:c r="B23" s="11" t="str">
        <x:v>Planning</x:v>
      </x:c>
      <x:c r="C23" s="11" t="str">
        <x:v>form_e</x:v>
      </x:c>
      <x:c r="D23" s="11" t="str">
        <x:v>residential_plot_coverage</x:v>
      </x:c>
      <x:c r="E23" s="11" t="str">
        <x:v>&lt;=</x:v>
      </x:c>
      <x:c r="F23" s="12" t="n">
        <x:v>0.65</x:v>
      </x:c>
      <x:c r="G23" s="11" t="str">
        <x:v>ratio</x:v>
      </x:c>
      <x:c r="H23" s="11" t="str">
        <x:v>7 &lt;= h &lt; 15; only where zoning plan does not specify coverage; highrise podium exception requires review</x:v>
      </x:c>
      <x:c r="I23" s="11" t="str">
        <x:v>regulation</x:v>
      </x:c>
      <x:c r="J23" s="11" t="str">
        <x:v>hard</x:v>
      </x:c>
      <x:c r="K23" s="11" t="str">
        <x:v>SRC_0001</x:v>
      </x:c>
      <x:c r="L23" s="11" t="str">
        <x:v>2235-54_E.pdf</x:v>
      </x:c>
      <x:c r="M23" s="11" t="str">
        <x:v>Schedule 6 Form E</x:v>
      </x:c>
      <x:c r="N23" s="22" t="n">
        <x:v>122</x:v>
      </x:c>
      <x:c r="O23" s="11" t="str">
        <x:v>122A</x:v>
      </x:c>
      <x:c r="P23" s="11" t="str">
        <x:v>Sri Lanka declared Urban Development Areas; site/local-plan applicability and later amendments pending</x:v>
      </x:c>
      <x:c r="Q23" s="23" t="n">
        <x:v>44385</x:v>
      </x:c>
      <x:c r="R23" s="23"/>
      <x:c r="S23" s="11" t="str">
        <x:v>source_checked</x:v>
      </x:c>
      <x:c r="T23" s="11" t="str">
        <x:v>AI extraction; professional review pending</x:v>
      </x:c>
      <x:c r="U23" s="23" t="n">
        <x:v>46314</x:v>
      </x:c>
      <x:c r="V23" s="11" t="str">
        <x:v>pending</x:v>
      </x:c>
      <x:c r="W23" s="24" t="b">
        <x:v>0</x:v>
      </x:c>
      <x:c r="X23" s="11" t="str">
        <x:v>{"scope_review_required":true,"entity":"form_e","parameter":"residential_plot_coverage","comparison":"&lt;=","threshold":0.65,"unit":"ratio","condition_text":"7 &lt;= h &lt; 15; only where zoning plan does not specify coverage; highrise podium exception requires review"}</x:v>
      </x:c>
      <x:c r="Y23" s="11" t="str">
        <x:v>Only areas where Forms A/B/C/D in effect. Building height from access-road level to top roof including parking floors.</x:v>
      </x:c>
    </x:row>
    <x:row r="24" ht="84" customHeight="1">
      <x:c r="A24" s="8" t="str">
        <x:v>BM_0102</x:v>
      </x:c>
      <x:c r="B24" s="8" t="str">
        <x:v>Planning</x:v>
      </x:c>
      <x:c r="C24" s="8" t="str">
        <x:v>form_e</x:v>
      </x:c>
      <x:c r="D24" s="8" t="str">
        <x:v>rear_space_no_nlv</x:v>
      </x:c>
      <x:c r="E24" s="8" t="str">
        <x:v>&gt;=</x:v>
      </x:c>
      <x:c r="F24" s="10" t="n">
        <x:v>3</x:v>
      </x:c>
      <x:c r="G24" s="8" t="str">
        <x:v>m</x:v>
      </x:c>
      <x:c r="H24" s="8" t="str">
        <x:v>7 &lt;= h &lt; 15; no natural light/ventilation taken from this end</x:v>
      </x:c>
      <x:c r="I24" s="8" t="str">
        <x:v>regulation</x:v>
      </x:c>
      <x:c r="J24" s="8" t="str">
        <x:v>hard</x:v>
      </x:c>
      <x:c r="K24" s="8" t="str">
        <x:v>SRC_0001</x:v>
      </x:c>
      <x:c r="L24" s="8" t="str">
        <x:v>2235-54_E.pdf</x:v>
      </x:c>
      <x:c r="M24" s="8" t="str">
        <x:v>Schedule 6 Form E</x:v>
      </x:c>
      <x:c r="N24" s="18" t="n">
        <x:v>122</x:v>
      </x:c>
      <x:c r="O24" s="8" t="str">
        <x:v>122A</x:v>
      </x:c>
      <x:c r="P24" s="8" t="str">
        <x:v>Sri Lanka declared Urban Development Areas; site/local-plan applicability and later amendments pending</x:v>
      </x:c>
      <x:c r="Q24" s="20" t="n">
        <x:v>44385</x:v>
      </x:c>
      <x:c r="R24" s="20"/>
      <x:c r="S24" s="8" t="str">
        <x:v>source_checked</x:v>
      </x:c>
      <x:c r="T24" s="8" t="str">
        <x:v>AI extraction; professional review pending</x:v>
      </x:c>
      <x:c r="U24" s="20" t="n">
        <x:v>46314</x:v>
      </x:c>
      <x:c r="V24" s="8" t="str">
        <x:v>pending</x:v>
      </x:c>
      <x:c r="W24" s="21" t="b">
        <x:v>0</x:v>
      </x:c>
      <x:c r="X24" s="8" t="str">
        <x:v>{"scope_review_required":true,"entity":"form_e","parameter":"rear_space_no_nlv","comparison":"&gt;=","threshold":3,"unit":"m","condition_text":"7 &lt;= h &lt; 15; no natural light/ventilation taken from this end"}</x:v>
      </x:c>
      <x:c r="Y24" s="8" t="str">
        <x:v>Only areas where Forms A/B/C/D in effect. Building height from access-road level to top roof including parking floors.</x:v>
      </x:c>
    </x:row>
    <x:row r="25" ht="84" customHeight="1">
      <x:c r="A25" s="11" t="str">
        <x:v>BM_0103</x:v>
      </x:c>
      <x:c r="B25" s="11" t="str">
        <x:v>Planning</x:v>
      </x:c>
      <x:c r="C25" s="11" t="str">
        <x:v>form_e</x:v>
      </x:c>
      <x:c r="D25" s="11" t="str">
        <x:v>rear_space_with_nlv</x:v>
      </x:c>
      <x:c r="E25" s="11" t="str">
        <x:v>&gt;=</x:v>
      </x:c>
      <x:c r="F25" s="12" t="n">
        <x:v>3</x:v>
      </x:c>
      <x:c r="G25" s="11" t="str">
        <x:v>m</x:v>
      </x:c>
      <x:c r="H25" s="11" t="str">
        <x:v>7 &lt;= h &lt; 15; natural light/ventilation taken from this end</x:v>
      </x:c>
      <x:c r="I25" s="11" t="str">
        <x:v>regulation</x:v>
      </x:c>
      <x:c r="J25" s="11" t="str">
        <x:v>hard</x:v>
      </x:c>
      <x:c r="K25" s="11" t="str">
        <x:v>SRC_0001</x:v>
      </x:c>
      <x:c r="L25" s="11" t="str">
        <x:v>2235-54_E.pdf</x:v>
      </x:c>
      <x:c r="M25" s="11" t="str">
        <x:v>Schedule 6 Form E</x:v>
      </x:c>
      <x:c r="N25" s="22" t="n">
        <x:v>122</x:v>
      </x:c>
      <x:c r="O25" s="11" t="str">
        <x:v>122A</x:v>
      </x:c>
      <x:c r="P25" s="11" t="str">
        <x:v>Sri Lanka declared Urban Development Areas; site/local-plan applicability and later amendments pending</x:v>
      </x:c>
      <x:c r="Q25" s="23" t="n">
        <x:v>44385</x:v>
      </x:c>
      <x:c r="R25" s="23"/>
      <x:c r="S25" s="11" t="str">
        <x:v>source_checked</x:v>
      </x:c>
      <x:c r="T25" s="11" t="str">
        <x:v>AI extraction; professional review pending</x:v>
      </x:c>
      <x:c r="U25" s="23" t="n">
        <x:v>46314</x:v>
      </x:c>
      <x:c r="V25" s="11" t="str">
        <x:v>pending</x:v>
      </x:c>
      <x:c r="W25" s="24" t="b">
        <x:v>0</x:v>
      </x:c>
      <x:c r="X25" s="11" t="str">
        <x:v>{"scope_review_required":true,"entity":"form_e","parameter":"rear_space_with_nlv","comparison":"&gt;=","threshold":3,"unit":"m","condition_text":"7 &lt;= h &lt; 15; natural light/ventilation taken from this end"}</x:v>
      </x:c>
      <x:c r="Y25" s="11" t="str">
        <x:v>Only areas where Forms A/B/C/D in effect. Building height from access-road level to top roof including parking floors.</x:v>
      </x:c>
    </x:row>
    <x:row r="26" ht="84" customHeight="1">
      <x:c r="A26" s="8" t="str">
        <x:v>BM_0104</x:v>
      </x:c>
      <x:c r="B26" s="8" t="str">
        <x:v>Planning</x:v>
      </x:c>
      <x:c r="C26" s="8" t="str">
        <x:v>form_e</x:v>
      </x:c>
      <x:c r="D26" s="8" t="str">
        <x:v>side_space_with_nlv</x:v>
      </x:c>
      <x:c r="E26" s="8" t="str">
        <x:v>&gt;=</x:v>
      </x:c>
      <x:c r="F26" s="10" t="n">
        <x:v>3</x:v>
      </x:c>
      <x:c r="G26" s="8" t="str">
        <x:v>m</x:v>
      </x:c>
      <x:c r="H26" s="8" t="str">
        <x:v>7 &lt;= h &lt; 15; natural light/ventilation taken from this end</x:v>
      </x:c>
      <x:c r="I26" s="8" t="str">
        <x:v>regulation</x:v>
      </x:c>
      <x:c r="J26" s="8" t="str">
        <x:v>hard</x:v>
      </x:c>
      <x:c r="K26" s="8" t="str">
        <x:v>SRC_0001</x:v>
      </x:c>
      <x:c r="L26" s="8" t="str">
        <x:v>2235-54_E.pdf</x:v>
      </x:c>
      <x:c r="M26" s="8" t="str">
        <x:v>Schedule 6 Form E</x:v>
      </x:c>
      <x:c r="N26" s="18" t="n">
        <x:v>122</x:v>
      </x:c>
      <x:c r="O26" s="8" t="str">
        <x:v>122A</x:v>
      </x:c>
      <x:c r="P26" s="8" t="str">
        <x:v>Sri Lanka declared Urban Development Areas; site/local-plan applicability and later amendments pending</x:v>
      </x:c>
      <x:c r="Q26" s="20" t="n">
        <x:v>44385</x:v>
      </x:c>
      <x:c r="R26" s="20"/>
      <x:c r="S26" s="8" t="str">
        <x:v>source_checked</x:v>
      </x:c>
      <x:c r="T26" s="8" t="str">
        <x:v>AI extraction; professional review pending</x:v>
      </x:c>
      <x:c r="U26" s="20" t="n">
        <x:v>46314</x:v>
      </x:c>
      <x:c r="V26" s="8" t="str">
        <x:v>pending</x:v>
      </x:c>
      <x:c r="W26" s="21" t="b">
        <x:v>0</x:v>
      </x:c>
      <x:c r="X26" s="8" t="str">
        <x:v>{"scope_review_required":true,"entity":"form_e","parameter":"side_space_with_nlv","comparison":"&gt;=","threshold":3,"unit":"m","condition_text":"7 &lt;= h &lt; 15; natural light/ventilation taken from this end"}</x:v>
      </x:c>
      <x:c r="Y26" s="8" t="str">
        <x:v>Only areas where Forms A/B/C/D in effect. Building height from access-road level to top roof including parking floors.</x:v>
      </x:c>
    </x:row>
    <x:row r="27" ht="70" customHeight="1">
      <x:c r="A27" s="11" t="str">
        <x:v>BM_0105</x:v>
      </x:c>
      <x:c r="B27" s="11" t="str">
        <x:v>Planning</x:v>
      </x:c>
      <x:c r="C27" s="11" t="str">
        <x:v>form_e</x:v>
      </x:c>
      <x:c r="D27" s="11" t="str">
        <x:v>site_frontage</x:v>
      </x:c>
      <x:c r="E27" s="11" t="str">
        <x:v>&gt;=</x:v>
      </x:c>
      <x:c r="F27" s="12" t="n">
        <x:v>12</x:v>
      </x:c>
      <x:c r="G27" s="11" t="str">
        <x:v>m</x:v>
      </x:c>
      <x:c r="H27" s="11" t="str">
        <x:v>15 &lt;= h &lt; 30; h&gt;=75 requires ABOVE 40m, not &gt;=40m</x:v>
      </x:c>
      <x:c r="I27" s="11" t="str">
        <x:v>regulation</x:v>
      </x:c>
      <x:c r="J27" s="11" t="str">
        <x:v>hard</x:v>
      </x:c>
      <x:c r="K27" s="11" t="str">
        <x:v>SRC_0001</x:v>
      </x:c>
      <x:c r="L27" s="11" t="str">
        <x:v>2235-54_E.pdf</x:v>
      </x:c>
      <x:c r="M27" s="11" t="str">
        <x:v>Schedule 6 Form E</x:v>
      </x:c>
      <x:c r="N27" s="22" t="n">
        <x:v>122</x:v>
      </x:c>
      <x:c r="O27" s="11" t="str">
        <x:v>122A</x:v>
      </x:c>
      <x:c r="P27" s="11" t="str">
        <x:v>Sri Lanka declared Urban Development Areas; site/local-plan applicability and later amendments pending</x:v>
      </x:c>
      <x:c r="Q27" s="23" t="n">
        <x:v>44385</x:v>
      </x:c>
      <x:c r="R27" s="23"/>
      <x:c r="S27" s="11" t="str">
        <x:v>source_checked</x:v>
      </x:c>
      <x:c r="T27" s="11" t="str">
        <x:v>AI extraction; professional review pending</x:v>
      </x:c>
      <x:c r="U27" s="23" t="n">
        <x:v>46314</x:v>
      </x:c>
      <x:c r="V27" s="11" t="str">
        <x:v>pending</x:v>
      </x:c>
      <x:c r="W27" s="24" t="b">
        <x:v>0</x:v>
      </x:c>
      <x:c r="X27" s="11" t="str">
        <x:v>{"scope_review_required":true,"entity":"form_e","parameter":"site_frontage","comparison":"&gt;=","threshold":12,"unit":"m","condition_text":"15 &lt;= h &lt; 30; h&gt;=75 requires ABOVE 40m, not &gt;=40m"}</x:v>
      </x:c>
      <x:c r="Y27" s="11" t="str">
        <x:v>Only areas where Forms A/B/C/D in effect. Building height from access-road level to top roof including parking floors.</x:v>
      </x:c>
    </x:row>
    <x:row r="28" ht="98" customHeight="1">
      <x:c r="A28" s="8" t="str">
        <x:v>BM_0106</x:v>
      </x:c>
      <x:c r="B28" s="8" t="str">
        <x:v>Planning</x:v>
      </x:c>
      <x:c r="C28" s="8" t="str">
        <x:v>form_e</x:v>
      </x:c>
      <x:c r="D28" s="8" t="str">
        <x:v>residential_plot_coverage</x:v>
      </x:c>
      <x:c r="E28" s="8" t="str">
        <x:v>&lt;=</x:v>
      </x:c>
      <x:c r="F28" s="10" t="n">
        <x:v>0.65</x:v>
      </x:c>
      <x:c r="G28" s="8" t="str">
        <x:v>ratio</x:v>
      </x:c>
      <x:c r="H28" s="8" t="str">
        <x:v>15 &lt;= h &lt; 30; only where zoning plan does not specify coverage; highrise podium exception requires review</x:v>
      </x:c>
      <x:c r="I28" s="8" t="str">
        <x:v>regulation</x:v>
      </x:c>
      <x:c r="J28" s="8" t="str">
        <x:v>hard</x:v>
      </x:c>
      <x:c r="K28" s="8" t="str">
        <x:v>SRC_0001</x:v>
      </x:c>
      <x:c r="L28" s="8" t="str">
        <x:v>2235-54_E.pdf</x:v>
      </x:c>
      <x:c r="M28" s="8" t="str">
        <x:v>Schedule 6 Form E</x:v>
      </x:c>
      <x:c r="N28" s="18" t="n">
        <x:v>122</x:v>
      </x:c>
      <x:c r="O28" s="8" t="str">
        <x:v>122A</x:v>
      </x:c>
      <x:c r="P28" s="8" t="str">
        <x:v>Sri Lanka declared Urban Development Areas; site/local-plan applicability and later amendments pending</x:v>
      </x:c>
      <x:c r="Q28" s="20" t="n">
        <x:v>44385</x:v>
      </x:c>
      <x:c r="R28" s="20"/>
      <x:c r="S28" s="8" t="str">
        <x:v>source_checked</x:v>
      </x:c>
      <x:c r="T28" s="8" t="str">
        <x:v>AI extraction; professional review pending</x:v>
      </x:c>
      <x:c r="U28" s="20" t="n">
        <x:v>46314</x:v>
      </x:c>
      <x:c r="V28" s="8" t="str">
        <x:v>pending</x:v>
      </x:c>
      <x:c r="W28" s="21" t="b">
        <x:v>0</x:v>
      </x:c>
      <x:c r="X28" s="8" t="str">
        <x:v>{"scope_review_required":true,"entity":"form_e","parameter":"residential_plot_coverage","comparison":"&lt;=","threshold":0.65,"unit":"ratio","condition_text":"15 &lt;= h &lt; 30; only where zoning plan does not specify coverage; highrise podium exception requires review"}</x:v>
      </x:c>
      <x:c r="Y28" s="8" t="str">
        <x:v>Only areas where Forms A/B/C/D in effect. Building height from access-road level to top roof including parking floors.</x:v>
      </x:c>
    </x:row>
    <x:row r="29" ht="84" customHeight="1">
      <x:c r="A29" s="11" t="str">
        <x:v>BM_0107</x:v>
      </x:c>
      <x:c r="B29" s="11" t="str">
        <x:v>Planning</x:v>
      </x:c>
      <x:c r="C29" s="11" t="str">
        <x:v>form_e</x:v>
      </x:c>
      <x:c r="D29" s="11" t="str">
        <x:v>rear_space_no_nlv</x:v>
      </x:c>
      <x:c r="E29" s="11" t="str">
        <x:v>&gt;=</x:v>
      </x:c>
      <x:c r="F29" s="12" t="n">
        <x:v>4</x:v>
      </x:c>
      <x:c r="G29" s="11" t="str">
        <x:v>m</x:v>
      </x:c>
      <x:c r="H29" s="11" t="str">
        <x:v>15 &lt;= h &lt; 30; no natural light/ventilation taken from this end</x:v>
      </x:c>
      <x:c r="I29" s="11" t="str">
        <x:v>regulation</x:v>
      </x:c>
      <x:c r="J29" s="11" t="str">
        <x:v>hard</x:v>
      </x:c>
      <x:c r="K29" s="11" t="str">
        <x:v>SRC_0001</x:v>
      </x:c>
      <x:c r="L29" s="11" t="str">
        <x:v>2235-54_E.pdf</x:v>
      </x:c>
      <x:c r="M29" s="11" t="str">
        <x:v>Schedule 6 Form E</x:v>
      </x:c>
      <x:c r="N29" s="22" t="n">
        <x:v>122</x:v>
      </x:c>
      <x:c r="O29" s="11" t="str">
        <x:v>122A</x:v>
      </x:c>
      <x:c r="P29" s="11" t="str">
        <x:v>Sri Lanka declared Urban Development Areas; site/local-plan applicability and later amendments pending</x:v>
      </x:c>
      <x:c r="Q29" s="23" t="n">
        <x:v>44385</x:v>
      </x:c>
      <x:c r="R29" s="23"/>
      <x:c r="S29" s="11" t="str">
        <x:v>source_checked</x:v>
      </x:c>
      <x:c r="T29" s="11" t="str">
        <x:v>AI extraction; professional review pending</x:v>
      </x:c>
      <x:c r="U29" s="23" t="n">
        <x:v>46314</x:v>
      </x:c>
      <x:c r="V29" s="11" t="str">
        <x:v>pending</x:v>
      </x:c>
      <x:c r="W29" s="24" t="b">
        <x:v>0</x:v>
      </x:c>
      <x:c r="X29" s="11" t="str">
        <x:v>{"scope_review_required":true,"entity":"form_e","parameter":"rear_space_no_nlv","comparison":"&gt;=","threshold":4,"unit":"m","condition_text":"15 &lt;= h &lt; 30; no natural light/ventilation taken from this end"}</x:v>
      </x:c>
      <x:c r="Y29" s="11" t="str">
        <x:v>Only areas where Forms A/B/C/D in effect. Building height from access-road level to top roof including parking floors.</x:v>
      </x:c>
    </x:row>
    <x:row r="30" ht="84" customHeight="1">
      <x:c r="A30" s="8" t="str">
        <x:v>BM_0108</x:v>
      </x:c>
      <x:c r="B30" s="8" t="str">
        <x:v>Planning</x:v>
      </x:c>
      <x:c r="C30" s="8" t="str">
        <x:v>form_e</x:v>
      </x:c>
      <x:c r="D30" s="8" t="str">
        <x:v>rear_space_with_nlv</x:v>
      </x:c>
      <x:c r="E30" s="8" t="str">
        <x:v>&gt;=</x:v>
      </x:c>
      <x:c r="F30" s="10" t="n">
        <x:v>4</x:v>
      </x:c>
      <x:c r="G30" s="8" t="str">
        <x:v>m</x:v>
      </x:c>
      <x:c r="H30" s="8" t="str">
        <x:v>15 &lt;= h &lt; 30; natural light/ventilation taken from this end</x:v>
      </x:c>
      <x:c r="I30" s="8" t="str">
        <x:v>regulation</x:v>
      </x:c>
      <x:c r="J30" s="8" t="str">
        <x:v>hard</x:v>
      </x:c>
      <x:c r="K30" s="8" t="str">
        <x:v>SRC_0001</x:v>
      </x:c>
      <x:c r="L30" s="8" t="str">
        <x:v>2235-54_E.pdf</x:v>
      </x:c>
      <x:c r="M30" s="8" t="str">
        <x:v>Schedule 6 Form E</x:v>
      </x:c>
      <x:c r="N30" s="18" t="n">
        <x:v>122</x:v>
      </x:c>
      <x:c r="O30" s="8" t="str">
        <x:v>122A</x:v>
      </x:c>
      <x:c r="P30" s="8" t="str">
        <x:v>Sri Lanka declared Urban Development Areas; site/local-plan applicability and later amendments pending</x:v>
      </x:c>
      <x:c r="Q30" s="20" t="n">
        <x:v>44385</x:v>
      </x:c>
      <x:c r="R30" s="20"/>
      <x:c r="S30" s="8" t="str">
        <x:v>source_checked</x:v>
      </x:c>
      <x:c r="T30" s="8" t="str">
        <x:v>AI extraction; professional review pending</x:v>
      </x:c>
      <x:c r="U30" s="20" t="n">
        <x:v>46314</x:v>
      </x:c>
      <x:c r="V30" s="8" t="str">
        <x:v>pending</x:v>
      </x:c>
      <x:c r="W30" s="21" t="b">
        <x:v>0</x:v>
      </x:c>
      <x:c r="X30" s="8" t="str">
        <x:v>{"scope_review_required":true,"entity":"form_e","parameter":"rear_space_with_nlv","comparison":"&gt;=","threshold":4,"unit":"m","condition_text":"15 &lt;= h &lt; 30; natural light/ventilation taken from this end"}</x:v>
      </x:c>
      <x:c r="Y30" s="8" t="str">
        <x:v>Only areas where Forms A/B/C/D in effect. Building height from access-road level to top roof including parking floors.</x:v>
      </x:c>
    </x:row>
    <x:row r="31" ht="84" customHeight="1">
      <x:c r="A31" s="11" t="str">
        <x:v>BM_0109</x:v>
      </x:c>
      <x:c r="B31" s="11" t="str">
        <x:v>Planning</x:v>
      </x:c>
      <x:c r="C31" s="11" t="str">
        <x:v>form_e</x:v>
      </x:c>
      <x:c r="D31" s="11" t="str">
        <x:v>side_space_with_nlv</x:v>
      </x:c>
      <x:c r="E31" s="11" t="str">
        <x:v>&gt;=</x:v>
      </x:c>
      <x:c r="F31" s="12" t="n">
        <x:v>4</x:v>
      </x:c>
      <x:c r="G31" s="11" t="str">
        <x:v>m</x:v>
      </x:c>
      <x:c r="H31" s="11" t="str">
        <x:v>15 &lt;= h &lt; 30; natural light/ventilation taken from this end</x:v>
      </x:c>
      <x:c r="I31" s="11" t="str">
        <x:v>regulation</x:v>
      </x:c>
      <x:c r="J31" s="11" t="str">
        <x:v>hard</x:v>
      </x:c>
      <x:c r="K31" s="11" t="str">
        <x:v>SRC_0001</x:v>
      </x:c>
      <x:c r="L31" s="11" t="str">
        <x:v>2235-54_E.pdf</x:v>
      </x:c>
      <x:c r="M31" s="11" t="str">
        <x:v>Schedule 6 Form E</x:v>
      </x:c>
      <x:c r="N31" s="22" t="n">
        <x:v>122</x:v>
      </x:c>
      <x:c r="O31" s="11" t="str">
        <x:v>122A</x:v>
      </x:c>
      <x:c r="P31" s="11" t="str">
        <x:v>Sri Lanka declared Urban Development Areas; site/local-plan applicability and later amendments pending</x:v>
      </x:c>
      <x:c r="Q31" s="23" t="n">
        <x:v>44385</x:v>
      </x:c>
      <x:c r="R31" s="23"/>
      <x:c r="S31" s="11" t="str">
        <x:v>source_checked</x:v>
      </x:c>
      <x:c r="T31" s="11" t="str">
        <x:v>AI extraction; professional review pending</x:v>
      </x:c>
      <x:c r="U31" s="23" t="n">
        <x:v>46314</x:v>
      </x:c>
      <x:c r="V31" s="11" t="str">
        <x:v>pending</x:v>
      </x:c>
      <x:c r="W31" s="24" t="b">
        <x:v>0</x:v>
      </x:c>
      <x:c r="X31" s="11" t="str">
        <x:v>{"scope_review_required":true,"entity":"form_e","parameter":"side_space_with_nlv","comparison":"&gt;=","threshold":4,"unit":"m","condition_text":"15 &lt;= h &lt; 30; natural light/ventilation taken from this end"}</x:v>
      </x:c>
      <x:c r="Y31" s="11" t="str">
        <x:v>Only areas where Forms A/B/C/D in effect. Building height from access-road level to top roof including parking floors.</x:v>
      </x:c>
    </x:row>
    <x:row r="32" ht="70" customHeight="1">
      <x:c r="A32" s="8" t="str">
        <x:v>BM_0110</x:v>
      </x:c>
      <x:c r="B32" s="8" t="str">
        <x:v>Planning</x:v>
      </x:c>
      <x:c r="C32" s="8" t="str">
        <x:v>form_e</x:v>
      </x:c>
      <x:c r="D32" s="8" t="str">
        <x:v>site_frontage</x:v>
      </x:c>
      <x:c r="E32" s="8" t="str">
        <x:v>&gt;=</x:v>
      </x:c>
      <x:c r="F32" s="10" t="n">
        <x:v>20</x:v>
      </x:c>
      <x:c r="G32" s="8" t="str">
        <x:v>m</x:v>
      </x:c>
      <x:c r="H32" s="8" t="str">
        <x:v>30 &lt;= h &lt; 50; h&gt;=75 requires ABOVE 40m, not &gt;=40m</x:v>
      </x:c>
      <x:c r="I32" s="8" t="str">
        <x:v>regulation</x:v>
      </x:c>
      <x:c r="J32" s="8" t="str">
        <x:v>hard</x:v>
      </x:c>
      <x:c r="K32" s="8" t="str">
        <x:v>SRC_0001</x:v>
      </x:c>
      <x:c r="L32" s="8" t="str">
        <x:v>2235-54_E.pdf</x:v>
      </x:c>
      <x:c r="M32" s="8" t="str">
        <x:v>Schedule 6 Form E</x:v>
      </x:c>
      <x:c r="N32" s="18" t="n">
        <x:v>122</x:v>
      </x:c>
      <x:c r="O32" s="8" t="str">
        <x:v>122A</x:v>
      </x:c>
      <x:c r="P32" s="8" t="str">
        <x:v>Sri Lanka declared Urban Development Areas; site/local-plan applicability and later amendments pending</x:v>
      </x:c>
      <x:c r="Q32" s="20" t="n">
        <x:v>44385</x:v>
      </x:c>
      <x:c r="R32" s="20"/>
      <x:c r="S32" s="8" t="str">
        <x:v>source_checked</x:v>
      </x:c>
      <x:c r="T32" s="8" t="str">
        <x:v>AI extraction; professional review pending</x:v>
      </x:c>
      <x:c r="U32" s="20" t="n">
        <x:v>46314</x:v>
      </x:c>
      <x:c r="V32" s="8" t="str">
        <x:v>pending</x:v>
      </x:c>
      <x:c r="W32" s="21" t="b">
        <x:v>0</x:v>
      </x:c>
      <x:c r="X32" s="8" t="str">
        <x:v>{"scope_review_required":true,"entity":"form_e","parameter":"site_frontage","comparison":"&gt;=","threshold":20,"unit":"m","condition_text":"30 &lt;= h &lt; 50; h&gt;=75 requires ABOVE 40m, not &gt;=40m"}</x:v>
      </x:c>
      <x:c r="Y32" s="8" t="str">
        <x:v>Only areas where Forms A/B/C/D in effect. Building height from access-road level to top roof including parking floors.</x:v>
      </x:c>
    </x:row>
    <x:row r="33" ht="98" customHeight="1">
      <x:c r="A33" s="11" t="str">
        <x:v>BM_0111</x:v>
      </x:c>
      <x:c r="B33" s="11" t="str">
        <x:v>Planning</x:v>
      </x:c>
      <x:c r="C33" s="11" t="str">
        <x:v>form_e</x:v>
      </x:c>
      <x:c r="D33" s="11" t="str">
        <x:v>residential_plot_coverage</x:v>
      </x:c>
      <x:c r="E33" s="11" t="str">
        <x:v>&lt;=</x:v>
      </x:c>
      <x:c r="F33" s="12" t="n">
        <x:v>0.65</x:v>
      </x:c>
      <x:c r="G33" s="11" t="str">
        <x:v>ratio</x:v>
      </x:c>
      <x:c r="H33" s="11" t="str">
        <x:v>30 &lt;= h &lt; 50; only where zoning plan does not specify coverage; highrise podium exception requires review</x:v>
      </x:c>
      <x:c r="I33" s="11" t="str">
        <x:v>regulation</x:v>
      </x:c>
      <x:c r="J33" s="11" t="str">
        <x:v>hard</x:v>
      </x:c>
      <x:c r="K33" s="11" t="str">
        <x:v>SRC_0001</x:v>
      </x:c>
      <x:c r="L33" s="11" t="str">
        <x:v>2235-54_E.pdf</x:v>
      </x:c>
      <x:c r="M33" s="11" t="str">
        <x:v>Schedule 6 Form E</x:v>
      </x:c>
      <x:c r="N33" s="22" t="n">
        <x:v>122</x:v>
      </x:c>
      <x:c r="O33" s="11" t="str">
        <x:v>122A</x:v>
      </x:c>
      <x:c r="P33" s="11" t="str">
        <x:v>Sri Lanka declared Urban Development Areas; site/local-plan applicability and later amendments pending</x:v>
      </x:c>
      <x:c r="Q33" s="23" t="n">
        <x:v>44385</x:v>
      </x:c>
      <x:c r="R33" s="23"/>
      <x:c r="S33" s="11" t="str">
        <x:v>source_checked</x:v>
      </x:c>
      <x:c r="T33" s="11" t="str">
        <x:v>AI extraction; professional review pending</x:v>
      </x:c>
      <x:c r="U33" s="23" t="n">
        <x:v>46314</x:v>
      </x:c>
      <x:c r="V33" s="11" t="str">
        <x:v>pending</x:v>
      </x:c>
      <x:c r="W33" s="24" t="b">
        <x:v>0</x:v>
      </x:c>
      <x:c r="X33" s="11" t="str">
        <x:v>{"scope_review_required":true,"entity":"form_e","parameter":"residential_plot_coverage","comparison":"&lt;=","threshold":0.65,"unit":"ratio","condition_text":"30 &lt;= h &lt; 50; only where zoning plan does not specify coverage; highrise podium exception requires review"}</x:v>
      </x:c>
      <x:c r="Y33" s="11" t="str">
        <x:v>Only areas where Forms A/B/C/D in effect. Building height from access-road level to top roof including parking floors.</x:v>
      </x:c>
    </x:row>
    <x:row r="34" ht="84" customHeight="1">
      <x:c r="A34" s="8" t="str">
        <x:v>BM_0112</x:v>
      </x:c>
      <x:c r="B34" s="8" t="str">
        <x:v>Planning</x:v>
      </x:c>
      <x:c r="C34" s="8" t="str">
        <x:v>form_e</x:v>
      </x:c>
      <x:c r="D34" s="8" t="str">
        <x:v>rear_space_no_nlv</x:v>
      </x:c>
      <x:c r="E34" s="8" t="str">
        <x:v>&gt;=</x:v>
      </x:c>
      <x:c r="F34" s="10" t="n">
        <x:v>4</x:v>
      </x:c>
      <x:c r="G34" s="8" t="str">
        <x:v>m</x:v>
      </x:c>
      <x:c r="H34" s="8" t="str">
        <x:v>30 &lt;= h &lt; 50; no natural light/ventilation taken from this end</x:v>
      </x:c>
      <x:c r="I34" s="8" t="str">
        <x:v>regulation</x:v>
      </x:c>
      <x:c r="J34" s="8" t="str">
        <x:v>hard</x:v>
      </x:c>
      <x:c r="K34" s="8" t="str">
        <x:v>SRC_0001</x:v>
      </x:c>
      <x:c r="L34" s="8" t="str">
        <x:v>2235-54_E.pdf</x:v>
      </x:c>
      <x:c r="M34" s="8" t="str">
        <x:v>Schedule 6 Form E</x:v>
      </x:c>
      <x:c r="N34" s="18" t="n">
        <x:v>122</x:v>
      </x:c>
      <x:c r="O34" s="8" t="str">
        <x:v>122A</x:v>
      </x:c>
      <x:c r="P34" s="8" t="str">
        <x:v>Sri Lanka declared Urban Development Areas; site/local-plan applicability and later amendments pending</x:v>
      </x:c>
      <x:c r="Q34" s="20" t="n">
        <x:v>44385</x:v>
      </x:c>
      <x:c r="R34" s="20"/>
      <x:c r="S34" s="8" t="str">
        <x:v>source_checked</x:v>
      </x:c>
      <x:c r="T34" s="8" t="str">
        <x:v>AI extraction; professional review pending</x:v>
      </x:c>
      <x:c r="U34" s="20" t="n">
        <x:v>46314</x:v>
      </x:c>
      <x:c r="V34" s="8" t="str">
        <x:v>pending</x:v>
      </x:c>
      <x:c r="W34" s="21" t="b">
        <x:v>0</x:v>
      </x:c>
      <x:c r="X34" s="8" t="str">
        <x:v>{"scope_review_required":true,"entity":"form_e","parameter":"rear_space_no_nlv","comparison":"&gt;=","threshold":4,"unit":"m","condition_text":"30 &lt;= h &lt; 50; no natural light/ventilation taken from this end"}</x:v>
      </x:c>
      <x:c r="Y34" s="8" t="str">
        <x:v>Only areas where Forms A/B/C/D in effect. Building height from access-road level to top roof including parking floors.</x:v>
      </x:c>
    </x:row>
    <x:row r="35" ht="84" customHeight="1">
      <x:c r="A35" s="11" t="str">
        <x:v>BM_0113</x:v>
      </x:c>
      <x:c r="B35" s="11" t="str">
        <x:v>Planning</x:v>
      </x:c>
      <x:c r="C35" s="11" t="str">
        <x:v>form_e</x:v>
      </x:c>
      <x:c r="D35" s="11" t="str">
        <x:v>rear_space_with_nlv</x:v>
      </x:c>
      <x:c r="E35" s="11" t="str">
        <x:v>&gt;=</x:v>
      </x:c>
      <x:c r="F35" s="12" t="n">
        <x:v>5</x:v>
      </x:c>
      <x:c r="G35" s="11" t="str">
        <x:v>m</x:v>
      </x:c>
      <x:c r="H35" s="11" t="str">
        <x:v>30 &lt;= h &lt; 50; natural light/ventilation taken from this end</x:v>
      </x:c>
      <x:c r="I35" s="11" t="str">
        <x:v>regulation</x:v>
      </x:c>
      <x:c r="J35" s="11" t="str">
        <x:v>hard</x:v>
      </x:c>
      <x:c r="K35" s="11" t="str">
        <x:v>SRC_0001</x:v>
      </x:c>
      <x:c r="L35" s="11" t="str">
        <x:v>2235-54_E.pdf</x:v>
      </x:c>
      <x:c r="M35" s="11" t="str">
        <x:v>Schedule 6 Form E</x:v>
      </x:c>
      <x:c r="N35" s="22" t="n">
        <x:v>122</x:v>
      </x:c>
      <x:c r="O35" s="11" t="str">
        <x:v>122A</x:v>
      </x:c>
      <x:c r="P35" s="11" t="str">
        <x:v>Sri Lanka declared Urban Development Areas; site/local-plan applicability and later amendments pending</x:v>
      </x:c>
      <x:c r="Q35" s="23" t="n">
        <x:v>44385</x:v>
      </x:c>
      <x:c r="R35" s="23"/>
      <x:c r="S35" s="11" t="str">
        <x:v>source_checked</x:v>
      </x:c>
      <x:c r="T35" s="11" t="str">
        <x:v>AI extraction; professional review pending</x:v>
      </x:c>
      <x:c r="U35" s="23" t="n">
        <x:v>46314</x:v>
      </x:c>
      <x:c r="V35" s="11" t="str">
        <x:v>pending</x:v>
      </x:c>
      <x:c r="W35" s="24" t="b">
        <x:v>0</x:v>
      </x:c>
      <x:c r="X35" s="11" t="str">
        <x:v>{"scope_review_required":true,"entity":"form_e","parameter":"rear_space_with_nlv","comparison":"&gt;=","threshold":5,"unit":"m","condition_text":"30 &lt;= h &lt; 50; natural light/ventilation taken from this end"}</x:v>
      </x:c>
      <x:c r="Y35" s="11" t="str">
        <x:v>Only areas where Forms A/B/C/D in effect. Building height from access-road level to top roof including parking floors.</x:v>
      </x:c>
    </x:row>
    <x:row r="36" ht="84" customHeight="1">
      <x:c r="A36" s="8" t="str">
        <x:v>BM_0114</x:v>
      </x:c>
      <x:c r="B36" s="8" t="str">
        <x:v>Planning</x:v>
      </x:c>
      <x:c r="C36" s="8" t="str">
        <x:v>form_e</x:v>
      </x:c>
      <x:c r="D36" s="8" t="str">
        <x:v>side_space_with_nlv</x:v>
      </x:c>
      <x:c r="E36" s="8" t="str">
        <x:v>&gt;=</x:v>
      </x:c>
      <x:c r="F36" s="10" t="n">
        <x:v>5</x:v>
      </x:c>
      <x:c r="G36" s="8" t="str">
        <x:v>m</x:v>
      </x:c>
      <x:c r="H36" s="8" t="str">
        <x:v>30 &lt;= h &lt; 50; natural light/ventilation taken from this end</x:v>
      </x:c>
      <x:c r="I36" s="8" t="str">
        <x:v>regulation</x:v>
      </x:c>
      <x:c r="J36" s="8" t="str">
        <x:v>hard</x:v>
      </x:c>
      <x:c r="K36" s="8" t="str">
        <x:v>SRC_0001</x:v>
      </x:c>
      <x:c r="L36" s="8" t="str">
        <x:v>2235-54_E.pdf</x:v>
      </x:c>
      <x:c r="M36" s="8" t="str">
        <x:v>Schedule 6 Form E</x:v>
      </x:c>
      <x:c r="N36" s="18" t="n">
        <x:v>122</x:v>
      </x:c>
      <x:c r="O36" s="8" t="str">
        <x:v>122A</x:v>
      </x:c>
      <x:c r="P36" s="8" t="str">
        <x:v>Sri Lanka declared Urban Development Areas; site/local-plan applicability and later amendments pending</x:v>
      </x:c>
      <x:c r="Q36" s="20" t="n">
        <x:v>44385</x:v>
      </x:c>
      <x:c r="R36" s="20"/>
      <x:c r="S36" s="8" t="str">
        <x:v>source_checked</x:v>
      </x:c>
      <x:c r="T36" s="8" t="str">
        <x:v>AI extraction; professional review pending</x:v>
      </x:c>
      <x:c r="U36" s="20" t="n">
        <x:v>46314</x:v>
      </x:c>
      <x:c r="V36" s="8" t="str">
        <x:v>pending</x:v>
      </x:c>
      <x:c r="W36" s="21" t="b">
        <x:v>0</x:v>
      </x:c>
      <x:c r="X36" s="8" t="str">
        <x:v>{"scope_review_required":true,"entity":"form_e","parameter":"side_space_with_nlv","comparison":"&gt;=","threshold":5,"unit":"m","condition_text":"30 &lt;= h &lt; 50; natural light/ventilation taken from this end"}</x:v>
      </x:c>
      <x:c r="Y36" s="8" t="str">
        <x:v>Only areas where Forms A/B/C/D in effect. Building height from access-road level to top roof including parking floors.</x:v>
      </x:c>
    </x:row>
    <x:row r="37" ht="70" customHeight="1">
      <x:c r="A37" s="11" t="str">
        <x:v>BM_0115</x:v>
      </x:c>
      <x:c r="B37" s="11" t="str">
        <x:v>Planning</x:v>
      </x:c>
      <x:c r="C37" s="11" t="str">
        <x:v>form_e</x:v>
      </x:c>
      <x:c r="D37" s="11" t="str">
        <x:v>site_frontage</x:v>
      </x:c>
      <x:c r="E37" s="11" t="str">
        <x:v>&gt;=</x:v>
      </x:c>
      <x:c r="F37" s="12" t="n">
        <x:v>30</x:v>
      </x:c>
      <x:c r="G37" s="11" t="str">
        <x:v>m</x:v>
      </x:c>
      <x:c r="H37" s="11" t="str">
        <x:v>50 &lt;= h &lt; 75; h&gt;=75 requires ABOVE 40m, not &gt;=40m</x:v>
      </x:c>
      <x:c r="I37" s="11" t="str">
        <x:v>regulation</x:v>
      </x:c>
      <x:c r="J37" s="11" t="str">
        <x:v>hard</x:v>
      </x:c>
      <x:c r="K37" s="11" t="str">
        <x:v>SRC_0001</x:v>
      </x:c>
      <x:c r="L37" s="11" t="str">
        <x:v>2235-54_E.pdf</x:v>
      </x:c>
      <x:c r="M37" s="11" t="str">
        <x:v>Schedule 6 Form E</x:v>
      </x:c>
      <x:c r="N37" s="22" t="n">
        <x:v>122</x:v>
      </x:c>
      <x:c r="O37" s="11" t="str">
        <x:v>122A</x:v>
      </x:c>
      <x:c r="P37" s="11" t="str">
        <x:v>Sri Lanka declared Urban Development Areas; site/local-plan applicability and later amendments pending</x:v>
      </x:c>
      <x:c r="Q37" s="23" t="n">
        <x:v>44385</x:v>
      </x:c>
      <x:c r="R37" s="23"/>
      <x:c r="S37" s="11" t="str">
        <x:v>source_checked</x:v>
      </x:c>
      <x:c r="T37" s="11" t="str">
        <x:v>AI extraction; professional review pending</x:v>
      </x:c>
      <x:c r="U37" s="23" t="n">
        <x:v>46314</x:v>
      </x:c>
      <x:c r="V37" s="11" t="str">
        <x:v>pending</x:v>
      </x:c>
      <x:c r="W37" s="24" t="b">
        <x:v>0</x:v>
      </x:c>
      <x:c r="X37" s="11" t="str">
        <x:v>{"scope_review_required":true,"entity":"form_e","parameter":"site_frontage","comparison":"&gt;=","threshold":30,"unit":"m","condition_text":"50 &lt;= h &lt; 75; h&gt;=75 requires ABOVE 40m, not &gt;=40m"}</x:v>
      </x:c>
      <x:c r="Y37" s="11" t="str">
        <x:v>Only areas where Forms A/B/C/D in effect. Building height from access-road level to top roof including parking floors.</x:v>
      </x:c>
    </x:row>
    <x:row r="38" ht="98" customHeight="1">
      <x:c r="A38" s="8" t="str">
        <x:v>BM_0116</x:v>
      </x:c>
      <x:c r="B38" s="8" t="str">
        <x:v>Planning</x:v>
      </x:c>
      <x:c r="C38" s="8" t="str">
        <x:v>form_e</x:v>
      </x:c>
      <x:c r="D38" s="8" t="str">
        <x:v>residential_plot_coverage</x:v>
      </x:c>
      <x:c r="E38" s="8" t="str">
        <x:v>&lt;=</x:v>
      </x:c>
      <x:c r="F38" s="10" t="n">
        <x:v>0.5</x:v>
      </x:c>
      <x:c r="G38" s="8" t="str">
        <x:v>ratio</x:v>
      </x:c>
      <x:c r="H38" s="8" t="str">
        <x:v>50 &lt;= h &lt; 75; only where zoning plan does not specify coverage; highrise podium exception requires review</x:v>
      </x:c>
      <x:c r="I38" s="8" t="str">
        <x:v>regulation</x:v>
      </x:c>
      <x:c r="J38" s="8" t="str">
        <x:v>hard</x:v>
      </x:c>
      <x:c r="K38" s="8" t="str">
        <x:v>SRC_0001</x:v>
      </x:c>
      <x:c r="L38" s="8" t="str">
        <x:v>2235-54_E.pdf</x:v>
      </x:c>
      <x:c r="M38" s="8" t="str">
        <x:v>Schedule 6 Form E</x:v>
      </x:c>
      <x:c r="N38" s="18" t="n">
        <x:v>122</x:v>
      </x:c>
      <x:c r="O38" s="8" t="str">
        <x:v>122A</x:v>
      </x:c>
      <x:c r="P38" s="8" t="str">
        <x:v>Sri Lanka declared Urban Development Areas; site/local-plan applicability and later amendments pending</x:v>
      </x:c>
      <x:c r="Q38" s="20" t="n">
        <x:v>44385</x:v>
      </x:c>
      <x:c r="R38" s="20"/>
      <x:c r="S38" s="8" t="str">
        <x:v>source_checked</x:v>
      </x:c>
      <x:c r="T38" s="8" t="str">
        <x:v>AI extraction; professional review pending</x:v>
      </x:c>
      <x:c r="U38" s="20" t="n">
        <x:v>46314</x:v>
      </x:c>
      <x:c r="V38" s="8" t="str">
        <x:v>pending</x:v>
      </x:c>
      <x:c r="W38" s="21" t="b">
        <x:v>0</x:v>
      </x:c>
      <x:c r="X38" s="8" t="str">
        <x:v>{"scope_review_required":true,"entity":"form_e","parameter":"residential_plot_coverage","comparison":"&lt;=","threshold":0.5,"unit":"ratio","condition_text":"50 &lt;= h &lt; 75; only where zoning plan does not specify coverage; highrise podium exception requires review"}</x:v>
      </x:c>
      <x:c r="Y38" s="8" t="str">
        <x:v>Only areas where Forms A/B/C/D in effect. Building height from access-road level to top roof including parking floors.</x:v>
      </x:c>
    </x:row>
    <x:row r="39" ht="84" customHeight="1">
      <x:c r="A39" s="11" t="str">
        <x:v>BM_0117</x:v>
      </x:c>
      <x:c r="B39" s="11" t="str">
        <x:v>Planning</x:v>
      </x:c>
      <x:c r="C39" s="11" t="str">
        <x:v>form_e</x:v>
      </x:c>
      <x:c r="D39" s="11" t="str">
        <x:v>rear_space_no_nlv</x:v>
      </x:c>
      <x:c r="E39" s="11" t="str">
        <x:v>&gt;=</x:v>
      </x:c>
      <x:c r="F39" s="12" t="n">
        <x:v>5</x:v>
      </x:c>
      <x:c r="G39" s="11" t="str">
        <x:v>m</x:v>
      </x:c>
      <x:c r="H39" s="11" t="str">
        <x:v>50 &lt;= h &lt; 75; no natural light/ventilation taken from this end</x:v>
      </x:c>
      <x:c r="I39" s="11" t="str">
        <x:v>regulation</x:v>
      </x:c>
      <x:c r="J39" s="11" t="str">
        <x:v>hard</x:v>
      </x:c>
      <x:c r="K39" s="11" t="str">
        <x:v>SRC_0001</x:v>
      </x:c>
      <x:c r="L39" s="11" t="str">
        <x:v>2235-54_E.pdf</x:v>
      </x:c>
      <x:c r="M39" s="11" t="str">
        <x:v>Schedule 6 Form E</x:v>
      </x:c>
      <x:c r="N39" s="22" t="n">
        <x:v>122</x:v>
      </x:c>
      <x:c r="O39" s="11" t="str">
        <x:v>122A</x:v>
      </x:c>
      <x:c r="P39" s="11" t="str">
        <x:v>Sri Lanka declared Urban Development Areas; site/local-plan applicability and later amendments pending</x:v>
      </x:c>
      <x:c r="Q39" s="23" t="n">
        <x:v>44385</x:v>
      </x:c>
      <x:c r="R39" s="23"/>
      <x:c r="S39" s="11" t="str">
        <x:v>source_checked</x:v>
      </x:c>
      <x:c r="T39" s="11" t="str">
        <x:v>AI extraction; professional review pending</x:v>
      </x:c>
      <x:c r="U39" s="23" t="n">
        <x:v>46314</x:v>
      </x:c>
      <x:c r="V39" s="11" t="str">
        <x:v>pending</x:v>
      </x:c>
      <x:c r="W39" s="24" t="b">
        <x:v>0</x:v>
      </x:c>
      <x:c r="X39" s="11" t="str">
        <x:v>{"scope_review_required":true,"entity":"form_e","parameter":"rear_space_no_nlv","comparison":"&gt;=","threshold":5,"unit":"m","condition_text":"50 &lt;= h &lt; 75; no natural light/ventilation taken from this end"}</x:v>
      </x:c>
      <x:c r="Y39" s="11" t="str">
        <x:v>Only areas where Forms A/B/C/D in effect. Building height from access-road level to top roof including parking floors.</x:v>
      </x:c>
    </x:row>
    <x:row r="40" ht="84" customHeight="1">
      <x:c r="A40" s="8" t="str">
        <x:v>BM_0118</x:v>
      </x:c>
      <x:c r="B40" s="8" t="str">
        <x:v>Planning</x:v>
      </x:c>
      <x:c r="C40" s="8" t="str">
        <x:v>form_e</x:v>
      </x:c>
      <x:c r="D40" s="8" t="str">
        <x:v>rear_space_with_nlv</x:v>
      </x:c>
      <x:c r="E40" s="8" t="str">
        <x:v>&gt;=</x:v>
      </x:c>
      <x:c r="F40" s="10" t="n">
        <x:v>6</x:v>
      </x:c>
      <x:c r="G40" s="8" t="str">
        <x:v>m</x:v>
      </x:c>
      <x:c r="H40" s="8" t="str">
        <x:v>50 &lt;= h &lt; 75; natural light/ventilation taken from this end</x:v>
      </x:c>
      <x:c r="I40" s="8" t="str">
        <x:v>regulation</x:v>
      </x:c>
      <x:c r="J40" s="8" t="str">
        <x:v>hard</x:v>
      </x:c>
      <x:c r="K40" s="8" t="str">
        <x:v>SRC_0001</x:v>
      </x:c>
      <x:c r="L40" s="8" t="str">
        <x:v>2235-54_E.pdf</x:v>
      </x:c>
      <x:c r="M40" s="8" t="str">
        <x:v>Schedule 6 Form E</x:v>
      </x:c>
      <x:c r="N40" s="18" t="n">
        <x:v>122</x:v>
      </x:c>
      <x:c r="O40" s="8" t="str">
        <x:v>122A</x:v>
      </x:c>
      <x:c r="P40" s="8" t="str">
        <x:v>Sri Lanka declared Urban Development Areas; site/local-plan applicability and later amendments pending</x:v>
      </x:c>
      <x:c r="Q40" s="20" t="n">
        <x:v>44385</x:v>
      </x:c>
      <x:c r="R40" s="20"/>
      <x:c r="S40" s="8" t="str">
        <x:v>source_checked</x:v>
      </x:c>
      <x:c r="T40" s="8" t="str">
        <x:v>AI extraction; professional review pending</x:v>
      </x:c>
      <x:c r="U40" s="20" t="n">
        <x:v>46314</x:v>
      </x:c>
      <x:c r="V40" s="8" t="str">
        <x:v>pending</x:v>
      </x:c>
      <x:c r="W40" s="21" t="b">
        <x:v>0</x:v>
      </x:c>
      <x:c r="X40" s="8" t="str">
        <x:v>{"scope_review_required":true,"entity":"form_e","parameter":"rear_space_with_nlv","comparison":"&gt;=","threshold":6,"unit":"m","condition_text":"50 &lt;= h &lt; 75; natural light/ventilation taken from this end"}</x:v>
      </x:c>
      <x:c r="Y40" s="8" t="str">
        <x:v>Only areas where Forms A/B/C/D in effect. Building height from access-road level to top roof including parking floors.</x:v>
      </x:c>
    </x:row>
    <x:row r="41" ht="84" customHeight="1">
      <x:c r="A41" s="11" t="str">
        <x:v>BM_0119</x:v>
      </x:c>
      <x:c r="B41" s="11" t="str">
        <x:v>Planning</x:v>
      </x:c>
      <x:c r="C41" s="11" t="str">
        <x:v>form_e</x:v>
      </x:c>
      <x:c r="D41" s="11" t="str">
        <x:v>side_space_with_nlv</x:v>
      </x:c>
      <x:c r="E41" s="11" t="str">
        <x:v>&gt;=</x:v>
      </x:c>
      <x:c r="F41" s="12" t="n">
        <x:v>6</x:v>
      </x:c>
      <x:c r="G41" s="11" t="str">
        <x:v>m</x:v>
      </x:c>
      <x:c r="H41" s="11" t="str">
        <x:v>50 &lt;= h &lt; 75; natural light/ventilation taken from this end</x:v>
      </x:c>
      <x:c r="I41" s="11" t="str">
        <x:v>regulation</x:v>
      </x:c>
      <x:c r="J41" s="11" t="str">
        <x:v>hard</x:v>
      </x:c>
      <x:c r="K41" s="11" t="str">
        <x:v>SRC_0001</x:v>
      </x:c>
      <x:c r="L41" s="11" t="str">
        <x:v>2235-54_E.pdf</x:v>
      </x:c>
      <x:c r="M41" s="11" t="str">
        <x:v>Schedule 6 Form E</x:v>
      </x:c>
      <x:c r="N41" s="22" t="n">
        <x:v>122</x:v>
      </x:c>
      <x:c r="O41" s="11" t="str">
        <x:v>122A</x:v>
      </x:c>
      <x:c r="P41" s="11" t="str">
        <x:v>Sri Lanka declared Urban Development Areas; site/local-plan applicability and later amendments pending</x:v>
      </x:c>
      <x:c r="Q41" s="23" t="n">
        <x:v>44385</x:v>
      </x:c>
      <x:c r="R41" s="23"/>
      <x:c r="S41" s="11" t="str">
        <x:v>source_checked</x:v>
      </x:c>
      <x:c r="T41" s="11" t="str">
        <x:v>AI extraction; professional review pending</x:v>
      </x:c>
      <x:c r="U41" s="23" t="n">
        <x:v>46314</x:v>
      </x:c>
      <x:c r="V41" s="11" t="str">
        <x:v>pending</x:v>
      </x:c>
      <x:c r="W41" s="24" t="b">
        <x:v>0</x:v>
      </x:c>
      <x:c r="X41" s="11" t="str">
        <x:v>{"scope_review_required":true,"entity":"form_e","parameter":"side_space_with_nlv","comparison":"&gt;=","threshold":6,"unit":"m","condition_text":"50 &lt;= h &lt; 75; natural light/ventilation taken from this end"}</x:v>
      </x:c>
      <x:c r="Y41" s="11" t="str">
        <x:v>Only areas where Forms A/B/C/D in effect. Building height from access-road level to top roof including parking floors.</x:v>
      </x:c>
    </x:row>
    <x:row r="42" ht="70" customHeight="1">
      <x:c r="A42" s="8" t="str">
        <x:v>BM_0120</x:v>
      </x:c>
      <x:c r="B42" s="8" t="str">
        <x:v>Planning</x:v>
      </x:c>
      <x:c r="C42" s="8" t="str">
        <x:v>form_e</x:v>
      </x:c>
      <x:c r="D42" s="8" t="str">
        <x:v>site_frontage</x:v>
      </x:c>
      <x:c r="E42" s="8" t="str">
        <x:v>&gt;=</x:v>
      </x:c>
      <x:c r="F42" s="10"/>
      <x:c r="G42" s="8" t="str">
        <x:v>m</x:v>
      </x:c>
      <x:c r="H42" s="8" t="str">
        <x:v>h &gt;= 75; h&gt;=75 requires ABOVE 40m, not &gt;=40m</x:v>
      </x:c>
      <x:c r="I42" s="8" t="str">
        <x:v>regulation</x:v>
      </x:c>
      <x:c r="J42" s="8" t="str">
        <x:v>hard</x:v>
      </x:c>
      <x:c r="K42" s="8" t="str">
        <x:v>SRC_0001</x:v>
      </x:c>
      <x:c r="L42" s="8" t="str">
        <x:v>2235-54_E.pdf</x:v>
      </x:c>
      <x:c r="M42" s="8" t="str">
        <x:v>Schedule 6 Form E</x:v>
      </x:c>
      <x:c r="N42" s="18" t="n">
        <x:v>122</x:v>
      </x:c>
      <x:c r="O42" s="8" t="str">
        <x:v>122A</x:v>
      </x:c>
      <x:c r="P42" s="8" t="str">
        <x:v>Sri Lanka declared Urban Development Areas; site/local-plan applicability and later amendments pending</x:v>
      </x:c>
      <x:c r="Q42" s="20" t="n">
        <x:v>44385</x:v>
      </x:c>
      <x:c r="R42" s="20"/>
      <x:c r="S42" s="8" t="str">
        <x:v>interpretation_pending</x:v>
      </x:c>
      <x:c r="T42" s="8" t="str">
        <x:v>AI extraction; professional review pending</x:v>
      </x:c>
      <x:c r="U42" s="20" t="n">
        <x:v>46314</x:v>
      </x:c>
      <x:c r="V42" s="8" t="str">
        <x:v>pending</x:v>
      </x:c>
      <x:c r="W42" s="21" t="b">
        <x:v>0</x:v>
      </x:c>
      <x:c r="X42" s="8" t="str">
        <x:v>{"scope_review_required":true,"entity":"form_e","parameter":"site_frontage","comparison":"&gt;=","threshold":null,"unit":"m","condition_text":"h &gt;= 75; h&gt;=75 requires ABOVE 40m, not &gt;=40m"}</x:v>
      </x:c>
      <x:c r="Y42" s="8" t="str">
        <x:v>Only areas where Forms A/B/C/D in effect. Building height from access-road level to top roof including parking floors.</x:v>
      </x:c>
    </x:row>
    <x:row r="43" ht="98" customHeight="1">
      <x:c r="A43" s="11" t="str">
        <x:v>BM_0121</x:v>
      </x:c>
      <x:c r="B43" s="11" t="str">
        <x:v>Planning</x:v>
      </x:c>
      <x:c r="C43" s="11" t="str">
        <x:v>form_e</x:v>
      </x:c>
      <x:c r="D43" s="11" t="str">
        <x:v>residential_plot_coverage</x:v>
      </x:c>
      <x:c r="E43" s="11" t="str">
        <x:v>&lt;=</x:v>
      </x:c>
      <x:c r="F43" s="12" t="n">
        <x:v>0.5</x:v>
      </x:c>
      <x:c r="G43" s="11" t="str">
        <x:v>ratio</x:v>
      </x:c>
      <x:c r="H43" s="11" t="str">
        <x:v>h &gt;= 75; only where zoning plan does not specify coverage; highrise podium exception requires review</x:v>
      </x:c>
      <x:c r="I43" s="11" t="str">
        <x:v>regulation</x:v>
      </x:c>
      <x:c r="J43" s="11" t="str">
        <x:v>hard</x:v>
      </x:c>
      <x:c r="K43" s="11" t="str">
        <x:v>SRC_0001</x:v>
      </x:c>
      <x:c r="L43" s="11" t="str">
        <x:v>2235-54_E.pdf</x:v>
      </x:c>
      <x:c r="M43" s="11" t="str">
        <x:v>Schedule 6 Form E</x:v>
      </x:c>
      <x:c r="N43" s="22" t="n">
        <x:v>122</x:v>
      </x:c>
      <x:c r="O43" s="11" t="str">
        <x:v>122A</x:v>
      </x:c>
      <x:c r="P43" s="11" t="str">
        <x:v>Sri Lanka declared Urban Development Areas; site/local-plan applicability and later amendments pending</x:v>
      </x:c>
      <x:c r="Q43" s="23" t="n">
        <x:v>44385</x:v>
      </x:c>
      <x:c r="R43" s="23"/>
      <x:c r="S43" s="11" t="str">
        <x:v>interpretation_pending</x:v>
      </x:c>
      <x:c r="T43" s="11" t="str">
        <x:v>AI extraction; professional review pending</x:v>
      </x:c>
      <x:c r="U43" s="23" t="n">
        <x:v>46314</x:v>
      </x:c>
      <x:c r="V43" s="11" t="str">
        <x:v>pending</x:v>
      </x:c>
      <x:c r="W43" s="24" t="b">
        <x:v>0</x:v>
      </x:c>
      <x:c r="X43" s="11" t="str">
        <x:v>{"scope_review_required":true,"entity":"form_e","parameter":"residential_plot_coverage","comparison":"&lt;=","threshold":0.5,"unit":"ratio","condition_text":"h &gt;= 75; only where zoning plan does not specify coverage; highrise podium exception requires review"}</x:v>
      </x:c>
      <x:c r="Y43" s="11" t="str">
        <x:v>Only areas where Forms A/B/C/D in effect. Building height from access-road level to top roof including parking floors.</x:v>
      </x:c>
    </x:row>
    <x:row r="44" ht="84" customHeight="1">
      <x:c r="A44" s="8" t="str">
        <x:v>BM_0122</x:v>
      </x:c>
      <x:c r="B44" s="8" t="str">
        <x:v>Planning</x:v>
      </x:c>
      <x:c r="C44" s="8" t="str">
        <x:v>form_e</x:v>
      </x:c>
      <x:c r="D44" s="8" t="str">
        <x:v>rear_space_no_nlv</x:v>
      </x:c>
      <x:c r="E44" s="8" t="str">
        <x:v>&gt;=</x:v>
      </x:c>
      <x:c r="F44" s="10" t="n">
        <x:v>5</x:v>
      </x:c>
      <x:c r="G44" s="8" t="str">
        <x:v>m</x:v>
      </x:c>
      <x:c r="H44" s="8" t="str">
        <x:v>h &gt;= 75; no natural light/ventilation taken from this end</x:v>
      </x:c>
      <x:c r="I44" s="8" t="str">
        <x:v>regulation</x:v>
      </x:c>
      <x:c r="J44" s="8" t="str">
        <x:v>hard</x:v>
      </x:c>
      <x:c r="K44" s="8" t="str">
        <x:v>SRC_0001</x:v>
      </x:c>
      <x:c r="L44" s="8" t="str">
        <x:v>2235-54_E.pdf</x:v>
      </x:c>
      <x:c r="M44" s="8" t="str">
        <x:v>Schedule 6 Form E</x:v>
      </x:c>
      <x:c r="N44" s="18" t="n">
        <x:v>122</x:v>
      </x:c>
      <x:c r="O44" s="8" t="str">
        <x:v>122A</x:v>
      </x:c>
      <x:c r="P44" s="8" t="str">
        <x:v>Sri Lanka declared Urban Development Areas; site/local-plan applicability and later amendments pending</x:v>
      </x:c>
      <x:c r="Q44" s="20" t="n">
        <x:v>44385</x:v>
      </x:c>
      <x:c r="R44" s="20"/>
      <x:c r="S44" s="8" t="str">
        <x:v>interpretation_pending</x:v>
      </x:c>
      <x:c r="T44" s="8" t="str">
        <x:v>AI extraction; professional review pending</x:v>
      </x:c>
      <x:c r="U44" s="20" t="n">
        <x:v>46314</x:v>
      </x:c>
      <x:c r="V44" s="8" t="str">
        <x:v>pending</x:v>
      </x:c>
      <x:c r="W44" s="21" t="b">
        <x:v>0</x:v>
      </x:c>
      <x:c r="X44" s="8" t="str">
        <x:v>{"scope_review_required":true,"entity":"form_e","parameter":"rear_space_no_nlv","comparison":"&gt;=","threshold":5,"unit":"m","condition_text":"h &gt;= 75; no natural light/ventilation taken from this end"}</x:v>
      </x:c>
      <x:c r="Y44" s="8" t="str">
        <x:v>Only areas where Forms A/B/C/D in effect. Building height from access-road level to top roof including parking floors.</x:v>
      </x:c>
    </x:row>
    <x:row r="45" ht="84" customHeight="1">
      <x:c r="A45" s="11" t="str">
        <x:v>BM_0123</x:v>
      </x:c>
      <x:c r="B45" s="11" t="str">
        <x:v>Planning</x:v>
      </x:c>
      <x:c r="C45" s="11" t="str">
        <x:v>form_e</x:v>
      </x:c>
      <x:c r="D45" s="11" t="str">
        <x:v>rear_space_with_nlv</x:v>
      </x:c>
      <x:c r="E45" s="11" t="str">
        <x:v>&gt;=</x:v>
      </x:c>
      <x:c r="F45" s="12" t="n">
        <x:v>6</x:v>
      </x:c>
      <x:c r="G45" s="11" t="str">
        <x:v>m</x:v>
      </x:c>
      <x:c r="H45" s="11" t="str">
        <x:v>h &gt;= 75; natural light/ventilation taken from this end</x:v>
      </x:c>
      <x:c r="I45" s="11" t="str">
        <x:v>regulation</x:v>
      </x:c>
      <x:c r="J45" s="11" t="str">
        <x:v>hard</x:v>
      </x:c>
      <x:c r="K45" s="11" t="str">
        <x:v>SRC_0001</x:v>
      </x:c>
      <x:c r="L45" s="11" t="str">
        <x:v>2235-54_E.pdf</x:v>
      </x:c>
      <x:c r="M45" s="11" t="str">
        <x:v>Schedule 6 Form E</x:v>
      </x:c>
      <x:c r="N45" s="22" t="n">
        <x:v>122</x:v>
      </x:c>
      <x:c r="O45" s="11" t="str">
        <x:v>122A</x:v>
      </x:c>
      <x:c r="P45" s="11" t="str">
        <x:v>Sri Lanka declared Urban Development Areas; site/local-plan applicability and later amendments pending</x:v>
      </x:c>
      <x:c r="Q45" s="23" t="n">
        <x:v>44385</x:v>
      </x:c>
      <x:c r="R45" s="23"/>
      <x:c r="S45" s="11" t="str">
        <x:v>interpretation_pending</x:v>
      </x:c>
      <x:c r="T45" s="11" t="str">
        <x:v>AI extraction; professional review pending</x:v>
      </x:c>
      <x:c r="U45" s="23" t="n">
        <x:v>46314</x:v>
      </x:c>
      <x:c r="V45" s="11" t="str">
        <x:v>pending</x:v>
      </x:c>
      <x:c r="W45" s="24" t="b">
        <x:v>0</x:v>
      </x:c>
      <x:c r="X45" s="11" t="str">
        <x:v>{"scope_review_required":true,"entity":"form_e","parameter":"rear_space_with_nlv","comparison":"&gt;=","threshold":6,"unit":"m","condition_text":"h &gt;= 75; natural light/ventilation taken from this end"}</x:v>
      </x:c>
      <x:c r="Y45" s="11" t="str">
        <x:v>Only areas where Forms A/B/C/D in effect. Building height from access-road level to top roof including parking floors.</x:v>
      </x:c>
    </x:row>
    <x:row r="46" ht="84" customHeight="1">
      <x:c r="A46" s="8" t="str">
        <x:v>BM_0124</x:v>
      </x:c>
      <x:c r="B46" s="8" t="str">
        <x:v>Planning</x:v>
      </x:c>
      <x:c r="C46" s="8" t="str">
        <x:v>form_e</x:v>
      </x:c>
      <x:c r="D46" s="8" t="str">
        <x:v>side_space_with_nlv</x:v>
      </x:c>
      <x:c r="E46" s="8" t="str">
        <x:v>&gt;=</x:v>
      </x:c>
      <x:c r="F46" s="10" t="n">
        <x:v>6</x:v>
      </x:c>
      <x:c r="G46" s="8" t="str">
        <x:v>m</x:v>
      </x:c>
      <x:c r="H46" s="8" t="str">
        <x:v>h &gt;= 75; natural light/ventilation taken from this end</x:v>
      </x:c>
      <x:c r="I46" s="8" t="str">
        <x:v>regulation</x:v>
      </x:c>
      <x:c r="J46" s="8" t="str">
        <x:v>hard</x:v>
      </x:c>
      <x:c r="K46" s="8" t="str">
        <x:v>SRC_0001</x:v>
      </x:c>
      <x:c r="L46" s="8" t="str">
        <x:v>2235-54_E.pdf</x:v>
      </x:c>
      <x:c r="M46" s="8" t="str">
        <x:v>Schedule 6 Form E</x:v>
      </x:c>
      <x:c r="N46" s="18" t="n">
        <x:v>122</x:v>
      </x:c>
      <x:c r="O46" s="8" t="str">
        <x:v>122A</x:v>
      </x:c>
      <x:c r="P46" s="8" t="str">
        <x:v>Sri Lanka declared Urban Development Areas; site/local-plan applicability and later amendments pending</x:v>
      </x:c>
      <x:c r="Q46" s="20" t="n">
        <x:v>44385</x:v>
      </x:c>
      <x:c r="R46" s="20"/>
      <x:c r="S46" s="8" t="str">
        <x:v>interpretation_pending</x:v>
      </x:c>
      <x:c r="T46" s="8" t="str">
        <x:v>AI extraction; professional review pending</x:v>
      </x:c>
      <x:c r="U46" s="20" t="n">
        <x:v>46314</x:v>
      </x:c>
      <x:c r="V46" s="8" t="str">
        <x:v>pending</x:v>
      </x:c>
      <x:c r="W46" s="21" t="b">
        <x:v>0</x:v>
      </x:c>
      <x:c r="X46" s="8" t="str">
        <x:v>{"scope_review_required":true,"entity":"form_e","parameter":"side_space_with_nlv","comparison":"&gt;=","threshold":6,"unit":"m","condition_text":"h &gt;= 75; natural light/ventilation taken from this end"}</x:v>
      </x:c>
      <x:c r="Y46" s="8" t="str">
        <x:v>Only areas where Forms A/B/C/D in effect. Building height from access-road level to top roof including parking floors.</x:v>
      </x:c>
    </x:row>
    <x:row r="47" ht="70" customHeight="1">
      <x:c r="A47" s="11" t="str">
        <x:v>BM_0125</x:v>
      </x:c>
      <x:c r="B47" s="11" t="str">
        <x:v>Planning</x:v>
      </x:c>
      <x:c r="C47" s="11" t="str">
        <x:v>form_e</x:v>
      </x:c>
      <x:c r="D47" s="11" t="str">
        <x:v>side_space_no_nlv</x:v>
      </x:c>
      <x:c r="E47" s="11" t="str">
        <x:v>review</x:v>
      </x:c>
      <x:c r="F47" s="12"/>
      <x:c r="G47" s="11" t="str">
        <x:v>source_text</x:v>
      </x:c>
      <x:c r="H47" s="11" t="str">
        <x:v>h &lt; 7</x:v>
      </x:c>
      <x:c r="I47" s="11" t="str">
        <x:v>regulation</x:v>
      </x:c>
      <x:c r="J47" s="11" t="str">
        <x:v>hard</x:v>
      </x:c>
      <x:c r="K47" s="11" t="str">
        <x:v>SRC_0001</x:v>
      </x:c>
      <x:c r="L47" s="11" t="str">
        <x:v>2235-54_E.pdf</x:v>
      </x:c>
      <x:c r="M47" s="11" t="str">
        <x:v>Schedule 6 Form E</x:v>
      </x:c>
      <x:c r="N47" s="22" t="n">
        <x:v>122</x:v>
      </x:c>
      <x:c r="O47" s="11" t="str">
        <x:v>122A</x:v>
      </x:c>
      <x:c r="P47" s="11" t="str">
        <x:v>Sri Lanka declared Urban Development Areas; site/local-plan applicability and later amendments pending</x:v>
      </x:c>
      <x:c r="Q47" s="23" t="n">
        <x:v>44385</x:v>
      </x:c>
      <x:c r="R47" s="23"/>
      <x:c r="S47" s="11" t="str">
        <x:v>interpretation_pending</x:v>
      </x:c>
      <x:c r="T47" s="11" t="str">
        <x:v>AI extraction; professional review pending</x:v>
      </x:c>
      <x:c r="U47" s="23" t="n">
        <x:v>46314</x:v>
      </x:c>
      <x:c r="V47" s="11" t="str">
        <x:v>pending</x:v>
      </x:c>
      <x:c r="W47" s="24" t="b">
        <x:v>0</x:v>
      </x:c>
      <x:c r="X47" s="11" t="str">
        <x:v>{"scope_review_required":true,"entity":"form_e","parameter":"side_space_no_nlv","comparison":"review","threshold":null,"unit":"source_text","condition_text":"h &lt; 7"}</x:v>
      </x:c>
      <x:c r="Y47" s="11" t="str">
        <x:v>Original cell: -. Dash is not automatically zero. Determine sides and exceptions before encoding.</x:v>
      </x:c>
    </x:row>
    <x:row r="48" ht="70" customHeight="1">
      <x:c r="A48" s="8" t="str">
        <x:v>BM_0126</x:v>
      </x:c>
      <x:c r="B48" s="8" t="str">
        <x:v>Planning</x:v>
      </x:c>
      <x:c r="C48" s="8" t="str">
        <x:v>form_e</x:v>
      </x:c>
      <x:c r="D48" s="8" t="str">
        <x:v>side_space_no_nlv</x:v>
      </x:c>
      <x:c r="E48" s="8" t="str">
        <x:v>review</x:v>
      </x:c>
      <x:c r="F48" s="10"/>
      <x:c r="G48" s="8" t="str">
        <x:v>source_text</x:v>
      </x:c>
      <x:c r="H48" s="8" t="str">
        <x:v>7 &lt;= h &lt; 15</x:v>
      </x:c>
      <x:c r="I48" s="8" t="str">
        <x:v>regulation</x:v>
      </x:c>
      <x:c r="J48" s="8" t="str">
        <x:v>hard</x:v>
      </x:c>
      <x:c r="K48" s="8" t="str">
        <x:v>SRC_0001</x:v>
      </x:c>
      <x:c r="L48" s="8" t="str">
        <x:v>2235-54_E.pdf</x:v>
      </x:c>
      <x:c r="M48" s="8" t="str">
        <x:v>Schedule 6 Form E</x:v>
      </x:c>
      <x:c r="N48" s="18" t="n">
        <x:v>122</x:v>
      </x:c>
      <x:c r="O48" s="8" t="str">
        <x:v>122A</x:v>
      </x:c>
      <x:c r="P48" s="8" t="str">
        <x:v>Sri Lanka declared Urban Development Areas; site/local-plan applicability and later amendments pending</x:v>
      </x:c>
      <x:c r="Q48" s="20" t="n">
        <x:v>44385</x:v>
      </x:c>
      <x:c r="R48" s="20"/>
      <x:c r="S48" s="8" t="str">
        <x:v>interpretation_pending</x:v>
      </x:c>
      <x:c r="T48" s="8" t="str">
        <x:v>AI extraction; professional review pending</x:v>
      </x:c>
      <x:c r="U48" s="20" t="n">
        <x:v>46314</x:v>
      </x:c>
      <x:c r="V48" s="8" t="str">
        <x:v>pending</x:v>
      </x:c>
      <x:c r="W48" s="21" t="b">
        <x:v>0</x:v>
      </x:c>
      <x:c r="X48" s="8" t="str">
        <x:v>{"scope_review_required":true,"entity":"form_e","parameter":"side_space_no_nlv","comparison":"review","threshold":null,"unit":"source_text","condition_text":"7 &lt;= h &lt; 15"}</x:v>
      </x:c>
      <x:c r="Y48" s="8" t="str">
        <x:v>Original cell: -. Dash is not automatically zero. Determine sides and exceptions before encoding.</x:v>
      </x:c>
    </x:row>
    <x:row r="49" ht="70" customHeight="1">
      <x:c r="A49" s="11" t="str">
        <x:v>BM_0127</x:v>
      </x:c>
      <x:c r="B49" s="11" t="str">
        <x:v>Planning</x:v>
      </x:c>
      <x:c r="C49" s="11" t="str">
        <x:v>form_e</x:v>
      </x:c>
      <x:c r="D49" s="11" t="str">
        <x:v>side_space_no_nlv</x:v>
      </x:c>
      <x:c r="E49" s="11" t="str">
        <x:v>review</x:v>
      </x:c>
      <x:c r="F49" s="12"/>
      <x:c r="G49" s="11" t="str">
        <x:v>source_text</x:v>
      </x:c>
      <x:c r="H49" s="11" t="str">
        <x:v>15 &lt;= h &lt; 30</x:v>
      </x:c>
      <x:c r="I49" s="11" t="str">
        <x:v>regulation</x:v>
      </x:c>
      <x:c r="J49" s="11" t="str">
        <x:v>hard</x:v>
      </x:c>
      <x:c r="K49" s="11" t="str">
        <x:v>SRC_0001</x:v>
      </x:c>
      <x:c r="L49" s="11" t="str">
        <x:v>2235-54_E.pdf</x:v>
      </x:c>
      <x:c r="M49" s="11" t="str">
        <x:v>Schedule 6 Form E</x:v>
      </x:c>
      <x:c r="N49" s="22" t="n">
        <x:v>122</x:v>
      </x:c>
      <x:c r="O49" s="11" t="str">
        <x:v>122A</x:v>
      </x:c>
      <x:c r="P49" s="11" t="str">
        <x:v>Sri Lanka declared Urban Development Areas; site/local-plan applicability and later amendments pending</x:v>
      </x:c>
      <x:c r="Q49" s="23" t="n">
        <x:v>44385</x:v>
      </x:c>
      <x:c r="R49" s="23"/>
      <x:c r="S49" s="11" t="str">
        <x:v>interpretation_pending</x:v>
      </x:c>
      <x:c r="T49" s="11" t="str">
        <x:v>AI extraction; professional review pending</x:v>
      </x:c>
      <x:c r="U49" s="23" t="n">
        <x:v>46314</x:v>
      </x:c>
      <x:c r="V49" s="11" t="str">
        <x:v>pending</x:v>
      </x:c>
      <x:c r="W49" s="24" t="b">
        <x:v>0</x:v>
      </x:c>
      <x:c r="X49" s="11" t="str">
        <x:v>{"scope_review_required":true,"entity":"form_e","parameter":"side_space_no_nlv","comparison":"review","threshold":null,"unit":"source_text","condition_text":"15 &lt;= h &lt; 30"}</x:v>
      </x:c>
      <x:c r="Y49" s="11" t="str">
        <x:v>Original cell: 1.0 and 3.0. Dash is not automatically zero. Determine sides and exceptions before encoding.</x:v>
      </x:c>
    </x:row>
    <x:row r="50" ht="70" customHeight="1">
      <x:c r="A50" s="8" t="str">
        <x:v>BM_0128</x:v>
      </x:c>
      <x:c r="B50" s="8" t="str">
        <x:v>Planning</x:v>
      </x:c>
      <x:c r="C50" s="8" t="str">
        <x:v>form_e</x:v>
      </x:c>
      <x:c r="D50" s="8" t="str">
        <x:v>side_space_no_nlv</x:v>
      </x:c>
      <x:c r="E50" s="8" t="str">
        <x:v>review</x:v>
      </x:c>
      <x:c r="F50" s="10"/>
      <x:c r="G50" s="8" t="str">
        <x:v>source_text</x:v>
      </x:c>
      <x:c r="H50" s="8" t="str">
        <x:v>30 &lt;= h &lt; 50</x:v>
      </x:c>
      <x:c r="I50" s="8" t="str">
        <x:v>regulation</x:v>
      </x:c>
      <x:c r="J50" s="8" t="str">
        <x:v>hard</x:v>
      </x:c>
      <x:c r="K50" s="8" t="str">
        <x:v>SRC_0001</x:v>
      </x:c>
      <x:c r="L50" s="8" t="str">
        <x:v>2235-54_E.pdf</x:v>
      </x:c>
      <x:c r="M50" s="8" t="str">
        <x:v>Schedule 6 Form E</x:v>
      </x:c>
      <x:c r="N50" s="18" t="n">
        <x:v>122</x:v>
      </x:c>
      <x:c r="O50" s="8" t="str">
        <x:v>122A</x:v>
      </x:c>
      <x:c r="P50" s="8" t="str">
        <x:v>Sri Lanka declared Urban Development Areas; site/local-plan applicability and later amendments pending</x:v>
      </x:c>
      <x:c r="Q50" s="20" t="n">
        <x:v>44385</x:v>
      </x:c>
      <x:c r="R50" s="20"/>
      <x:c r="S50" s="8" t="str">
        <x:v>interpretation_pending</x:v>
      </x:c>
      <x:c r="T50" s="8" t="str">
        <x:v>AI extraction; professional review pending</x:v>
      </x:c>
      <x:c r="U50" s="20" t="n">
        <x:v>46314</x:v>
      </x:c>
      <x:c r="V50" s="8" t="str">
        <x:v>pending</x:v>
      </x:c>
      <x:c r="W50" s="21" t="b">
        <x:v>0</x:v>
      </x:c>
      <x:c r="X50" s="8" t="str">
        <x:v>{"scope_review_required":true,"entity":"form_e","parameter":"side_space_no_nlv","comparison":"review","threshold":null,"unit":"source_text","condition_text":"30 &lt;= h &lt; 50"}</x:v>
      </x:c>
      <x:c r="Y50" s="8" t="str">
        <x:v>Original cell: 3.0 both side. Dash is not automatically zero. Determine sides and exceptions before encoding.</x:v>
      </x:c>
    </x:row>
    <x:row r="51" ht="70" customHeight="1">
      <x:c r="A51" s="11" t="str">
        <x:v>BM_0129</x:v>
      </x:c>
      <x:c r="B51" s="11" t="str">
        <x:v>Planning</x:v>
      </x:c>
      <x:c r="C51" s="11" t="str">
        <x:v>form_e</x:v>
      </x:c>
      <x:c r="D51" s="11" t="str">
        <x:v>side_space_no_nlv</x:v>
      </x:c>
      <x:c r="E51" s="11" t="str">
        <x:v>review</x:v>
      </x:c>
      <x:c r="F51" s="12"/>
      <x:c r="G51" s="11" t="str">
        <x:v>source_text</x:v>
      </x:c>
      <x:c r="H51" s="11" t="str">
        <x:v>50 &lt;= h &lt; 75</x:v>
      </x:c>
      <x:c r="I51" s="11" t="str">
        <x:v>regulation</x:v>
      </x:c>
      <x:c r="J51" s="11" t="str">
        <x:v>hard</x:v>
      </x:c>
      <x:c r="K51" s="11" t="str">
        <x:v>SRC_0001</x:v>
      </x:c>
      <x:c r="L51" s="11" t="str">
        <x:v>2235-54_E.pdf</x:v>
      </x:c>
      <x:c r="M51" s="11" t="str">
        <x:v>Schedule 6 Form E</x:v>
      </x:c>
      <x:c r="N51" s="22" t="n">
        <x:v>122</x:v>
      </x:c>
      <x:c r="O51" s="11" t="str">
        <x:v>122A</x:v>
      </x:c>
      <x:c r="P51" s="11" t="str">
        <x:v>Sri Lanka declared Urban Development Areas; site/local-plan applicability and later amendments pending</x:v>
      </x:c>
      <x:c r="Q51" s="23" t="n">
        <x:v>44385</x:v>
      </x:c>
      <x:c r="R51" s="23"/>
      <x:c r="S51" s="11" t="str">
        <x:v>interpretation_pending</x:v>
      </x:c>
      <x:c r="T51" s="11" t="str">
        <x:v>AI extraction; professional review pending</x:v>
      </x:c>
      <x:c r="U51" s="23" t="n">
        <x:v>46314</x:v>
      </x:c>
      <x:c r="V51" s="11" t="str">
        <x:v>pending</x:v>
      </x:c>
      <x:c r="W51" s="24" t="b">
        <x:v>0</x:v>
      </x:c>
      <x:c r="X51" s="11" t="str">
        <x:v>{"scope_review_required":true,"entity":"form_e","parameter":"side_space_no_nlv","comparison":"review","threshold":null,"unit":"source_text","condition_text":"50 &lt;= h &lt; 75"}</x:v>
      </x:c>
      <x:c r="Y51" s="11" t="str">
        <x:v>Original cell: 4.0 both side. Dash is not automatically zero. Determine sides and exceptions before encoding.</x:v>
      </x:c>
    </x:row>
    <x:row r="52" ht="70" customHeight="1">
      <x:c r="A52" s="8" t="str">
        <x:v>BM_0130</x:v>
      </x:c>
      <x:c r="B52" s="8" t="str">
        <x:v>Planning</x:v>
      </x:c>
      <x:c r="C52" s="8" t="str">
        <x:v>form_e</x:v>
      </x:c>
      <x:c r="D52" s="8" t="str">
        <x:v>side_space_no_nlv</x:v>
      </x:c>
      <x:c r="E52" s="8" t="str">
        <x:v>review</x:v>
      </x:c>
      <x:c r="F52" s="10"/>
      <x:c r="G52" s="8" t="str">
        <x:v>source_text</x:v>
      </x:c>
      <x:c r="H52" s="8" t="str">
        <x:v>h &gt;= 75</x:v>
      </x:c>
      <x:c r="I52" s="8" t="str">
        <x:v>regulation</x:v>
      </x:c>
      <x:c r="J52" s="8" t="str">
        <x:v>hard</x:v>
      </x:c>
      <x:c r="K52" s="8" t="str">
        <x:v>SRC_0001</x:v>
      </x:c>
      <x:c r="L52" s="8" t="str">
        <x:v>2235-54_E.pdf</x:v>
      </x:c>
      <x:c r="M52" s="8" t="str">
        <x:v>Schedule 6 Form E</x:v>
      </x:c>
      <x:c r="N52" s="18" t="n">
        <x:v>122</x:v>
      </x:c>
      <x:c r="O52" s="8" t="str">
        <x:v>122A</x:v>
      </x:c>
      <x:c r="P52" s="8" t="str">
        <x:v>Sri Lanka declared Urban Development Areas; site/local-plan applicability and later amendments pending</x:v>
      </x:c>
      <x:c r="Q52" s="20" t="n">
        <x:v>44385</x:v>
      </x:c>
      <x:c r="R52" s="20"/>
      <x:c r="S52" s="8" t="str">
        <x:v>interpretation_pending</x:v>
      </x:c>
      <x:c r="T52" s="8" t="str">
        <x:v>AI extraction; professional review pending</x:v>
      </x:c>
      <x:c r="U52" s="20" t="n">
        <x:v>46314</x:v>
      </x:c>
      <x:c r="V52" s="8" t="str">
        <x:v>pending</x:v>
      </x:c>
      <x:c r="W52" s="21" t="b">
        <x:v>0</x:v>
      </x:c>
      <x:c r="X52" s="8" t="str">
        <x:v>{"scope_review_required":true,"entity":"form_e","parameter":"side_space_no_nlv","comparison":"review","threshold":null,"unit":"source_text","condition_text":"h &gt;= 75"}</x:v>
      </x:c>
      <x:c r="Y52" s="8" t="str">
        <x:v>Original cell: 5.0 both side. Dash is not automatically zero. Determine sides and exceptions before encoding.</x:v>
      </x:c>
    </x:row>
    <x:row r="53" ht="98" customHeight="1">
      <x:c r="A53" s="11" t="str">
        <x:v>BM_0141</x:v>
      </x:c>
      <x:c r="B53" s="11" t="str">
        <x:v>Planning</x:v>
      </x:c>
      <x:c r="C53" s="11" t="str">
        <x:v>water_source</x:v>
      </x:c>
      <x:c r="D53" s="11" t="str">
        <x:v>distance_from_wastewater_septic_soakage</x:v>
      </x:c>
      <x:c r="E53" s="11" t="str">
        <x:v>&gt;=</x:v>
      </x:c>
      <x:c r="F53" s="12" t="n">
        <x:v>18</x:v>
      </x:c>
      <x:c r="G53" s="11" t="str">
        <x:v>m</x:v>
      </x:c>
      <x:c r="H53" s="11" t="str">
        <x:v>shallow wells/surface intakes; local authority/relevant institution recommendation</x:v>
      </x:c>
      <x:c r="I53" s="11" t="str">
        <x:v>regulation</x:v>
      </x:c>
      <x:c r="J53" s="11" t="str">
        <x:v>hard</x:v>
      </x:c>
      <x:c r="K53" s="11" t="str">
        <x:v>SRC_0001</x:v>
      </x:c>
      <x:c r="L53" s="11" t="str">
        <x:v>2235-54_E.pdf</x:v>
      </x:c>
      <x:c r="M53" s="11" t="str">
        <x:v>74(3)(d)</x:v>
      </x:c>
      <x:c r="N53" s="22" t="n">
        <x:v>25</x:v>
      </x:c>
      <x:c r="O53" s="11" t="str">
        <x:v>25A</x:v>
      </x:c>
      <x:c r="P53" s="11" t="str">
        <x:v>Sri Lanka declared Urban Development Areas; site/local-plan applicability and later amendments pending</x:v>
      </x:c>
      <x:c r="Q53" s="23" t="n">
        <x:v>44385</x:v>
      </x:c>
      <x:c r="R53" s="23"/>
      <x:c r="S53" s="11" t="str">
        <x:v>source_checked</x:v>
      </x:c>
      <x:c r="T53" s="11" t="str">
        <x:v>AI extraction; professional review pending</x:v>
      </x:c>
      <x:c r="U53" s="23" t="n">
        <x:v>46314</x:v>
      </x:c>
      <x:c r="V53" s="11" t="str">
        <x:v>pending</x:v>
      </x:c>
      <x:c r="W53" s="24" t="b">
        <x:v>0</x:v>
      </x:c>
      <x:c r="X53" s="11" t="str">
        <x:v>{"scope_review_required":true,"entity":"water_source","parameter":"distance_from_wastewater_septic_soakage","comparison":"&gt;=","threshold":18,"unit":"m","condition_text":"shallow wells/surface intakes; local authority/relevant institution recommendation"}</x:v>
      </x:c>
      <x:c r="Y53" s="11" t="str"/>
    </x:row>
  </x:sheetData>
  <x:conditionalFormatting sqref="S2:S53">
    <x:cfRule type="containsText" dxfId="16" priority="1" operator="containsText" text="pending"/>
    <x:cfRule type="containsText" dxfId="17" priority="2" operator="containsText" text="conflict"/>
  </x:conditionalFormatting>
  <x:conditionalFormatting sqref="V2:V53">
    <x:cfRule type="containsText" dxfId="18" priority="3" operator="containsText" text="pending"/>
    <x:cfRule type="containsText" dxfId="19" priority="4" operator="containsText" text="conflict"/>
  </x:conditionalFormatting>
  <x:pageMargins left="0.7" right="0.7" top="0.75" bottom="0.75" header="0.3" footer="0.3"/>
  <x:tableParts count="1">
    <x:tablePart xmlns:r="http://schemas.openxmlformats.org/officeDocument/2006/relationships" r:id="Rc3106b794fca4b3e"/>
  </x:tableParts>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32" hidden="0" customWidth="1"/>
    <x:col min="4" max="4" width="32" hidden="0" customWidth="1"/>
    <x:col min="5" max="5" width="22" hidden="0" customWidth="1"/>
    <x:col min="6" max="6" width="22" hidden="0" customWidth="1"/>
    <x:col min="7" max="7" width="22" hidden="0" customWidth="1"/>
    <x:col min="8" max="8" width="62" hidden="0" customWidth="1"/>
    <x:col min="9" max="9" width="22" hidden="0" customWidth="1"/>
    <x:col min="10" max="10" width="22" hidden="0" customWidth="1"/>
    <x:col min="11" max="11" width="22" hidden="0" customWidth="1"/>
    <x:col min="12" max="12" width="32" hidden="0" customWidth="1"/>
    <x:col min="13" max="13" width="32" hidden="0" customWidth="1"/>
    <x:col min="14" max="14" width="22" hidden="0" customWidth="1"/>
    <x:col min="15" max="15" width="22" hidden="0" customWidth="1"/>
    <x:col min="16" max="16" width="32" hidden="0" customWidth="1"/>
    <x:col min="17" max="17" width="22" hidden="0" customWidth="1"/>
    <x:col min="18" max="18" width="22" hidden="0" customWidth="1"/>
    <x:col min="19" max="19" width="32" hidden="0" customWidth="1"/>
    <x:col min="20" max="20" width="32" hidden="0" customWidth="1"/>
    <x:col min="21" max="21" width="22" hidden="0" customWidth="1"/>
    <x:col min="22" max="22" width="22" hidden="0" customWidth="1"/>
    <x:col min="23" max="23" width="22" hidden="0" customWidth="1"/>
    <x:col min="24" max="24" width="62" hidden="0" customWidth="1"/>
    <x:col min="25" max="25" width="62" hidden="0" customWidth="1"/>
  </x:cols>
  <x:sheetData>
    <x:row r="1" ht="44" customHeight="1">
      <x:c r="A1" s="7" t="str">
        <x:v>rule_id</x:v>
      </x:c>
      <x:c r="B1" s="7" t="str">
        <x:v>category</x:v>
      </x:c>
      <x:c r="C1" s="7" t="str">
        <x:v>entity</x:v>
      </x:c>
      <x:c r="D1" s="7" t="str">
        <x:v>parameter</x:v>
      </x:c>
      <x:c r="E1" s="7" t="str">
        <x:v>operator</x:v>
      </x:c>
      <x:c r="F1" s="9" t="str">
        <x:v>value</x:v>
      </x:c>
      <x:c r="G1" s="7" t="str">
        <x:v>unit</x:v>
      </x:c>
      <x:c r="H1" s="7" t="str">
        <x:v>condition</x:v>
      </x:c>
      <x:c r="I1" s="7" t="str">
        <x:v>rule_type</x:v>
      </x:c>
      <x:c r="J1" s="7" t="str">
        <x:v>severity</x:v>
      </x:c>
      <x:c r="K1" s="7" t="str">
        <x:v>source_id</x:v>
      </x:c>
      <x:c r="L1" s="7" t="str">
        <x:v>source_document</x:v>
      </x:c>
      <x:c r="M1" s="7" t="str">
        <x:v>source_clause</x:v>
      </x:c>
      <x:c r="N1" s="17" t="str">
        <x:v>pdf_page</x:v>
      </x:c>
      <x:c r="O1" s="7" t="str">
        <x:v>printed_page</x:v>
      </x:c>
      <x:c r="P1" s="7" t="str">
        <x:v>jurisdiction</x:v>
      </x:c>
      <x:c r="Q1" s="19" t="str">
        <x:v>source_date</x:v>
      </x:c>
      <x:c r="R1" s="19" t="str">
        <x:v>effective_date</x:v>
      </x:c>
      <x:c r="S1" s="7" t="str">
        <x:v>verification_status</x:v>
      </x:c>
      <x:c r="T1" s="7" t="str">
        <x:v>verified_by</x:v>
      </x:c>
      <x:c r="U1" s="19" t="str">
        <x:v>checked_on</x:v>
      </x:c>
      <x:c r="V1" s="7" t="str">
        <x:v>applicability_status</x:v>
      </x:c>
      <x:c r="W1" s="7" t="str">
        <x:v>enable_in_production</x:v>
      </x:c>
      <x:c r="X1" s="7" t="str">
        <x:v>condition_json</x:v>
      </x:c>
      <x:c r="Y1" s="7" t="str">
        <x:v>notes</x:v>
      </x:c>
    </x:row>
    <x:row r="2" ht="70" customHeight="1">
      <x:c r="A2" s="8" t="str">
        <x:v>BM_0131</x:v>
      </x:c>
      <x:c r="B2" s="8" t="str">
        <x:v>Parking</x:v>
      </x:c>
      <x:c r="C2" s="8" t="str">
        <x:v>residential_parking</x:v>
      </x:c>
      <x:c r="D2" s="8" t="str">
        <x:v>separate_entry_exit_width</x:v>
      </x:c>
      <x:c r="E2" s="8" t="str">
        <x:v>&gt;=</x:v>
      </x:c>
      <x:c r="F2" s="10" t="n">
        <x:v>3</x:v>
      </x:c>
      <x:c r="G2" s="8" t="str">
        <x:v>m</x:v>
      </x:c>
      <x:c r="H2" s="8" t="str">
        <x:v>separate entry and exit</x:v>
      </x:c>
      <x:c r="I2" s="8" t="str">
        <x:v>regulation</x:v>
      </x:c>
      <x:c r="J2" s="8" t="str">
        <x:v>hard</x:v>
      </x:c>
      <x:c r="K2" s="8" t="str">
        <x:v>SRC_0001</x:v>
      </x:c>
      <x:c r="L2" s="8" t="str">
        <x:v>2235-54_E.pdf</x:v>
      </x:c>
      <x:c r="M2" s="8" t="str">
        <x:v>73(5)(a)</x:v>
      </x:c>
      <x:c r="N2" s="18" t="n">
        <x:v>23</x:v>
      </x:c>
      <x:c r="O2" s="8" t="str">
        <x:v>23A</x:v>
      </x:c>
      <x:c r="P2" s="8" t="str">
        <x:v>Sri Lanka declared Urban Development Areas; site/local-plan applicability and later amendments pending</x:v>
      </x:c>
      <x:c r="Q2" s="20" t="n">
        <x:v>44385</x:v>
      </x:c>
      <x:c r="R2" s="20"/>
      <x:c r="S2" s="8" t="str">
        <x:v>source_checked</x:v>
      </x:c>
      <x:c r="T2" s="8" t="str">
        <x:v>AI extraction; professional review pending</x:v>
      </x:c>
      <x:c r="U2" s="20" t="n">
        <x:v>46314</x:v>
      </x:c>
      <x:c r="V2" s="8" t="str">
        <x:v>pending</x:v>
      </x:c>
      <x:c r="W2" s="21" t="b">
        <x:v>0</x:v>
      </x:c>
      <x:c r="X2" s="8" t="str">
        <x:v>{"scope_review_required":true,"entity":"residential_parking","parameter":"separate_entry_exit_width","comparison":"&gt;=","threshold":3,"unit":"m","condition_text":"separate entry and exit"}</x:v>
      </x:c>
      <x:c r="Y2" s="8" t="str"/>
    </x:row>
    <x:row r="3" ht="70" customHeight="1">
      <x:c r="A3" s="11" t="str">
        <x:v>BM_0132</x:v>
      </x:c>
      <x:c r="B3" s="11" t="str">
        <x:v>Parking</x:v>
      </x:c>
      <x:c r="C3" s="11" t="str">
        <x:v>residential_parking</x:v>
      </x:c>
      <x:c r="D3" s="11" t="str">
        <x:v>combined_entry_exit_width</x:v>
      </x:c>
      <x:c r="E3" s="11" t="str">
        <x:v>&gt;=</x:v>
      </x:c>
      <x:c r="F3" s="12" t="n">
        <x:v>6</x:v>
      </x:c>
      <x:c r="G3" s="11" t="str">
        <x:v>m</x:v>
      </x:c>
      <x:c r="H3" s="11" t="str">
        <x:v>joint entry and exit</x:v>
      </x:c>
      <x:c r="I3" s="11" t="str">
        <x:v>regulation</x:v>
      </x:c>
      <x:c r="J3" s="11" t="str">
        <x:v>hard</x:v>
      </x:c>
      <x:c r="K3" s="11" t="str">
        <x:v>SRC_0001</x:v>
      </x:c>
      <x:c r="L3" s="11" t="str">
        <x:v>2235-54_E.pdf</x:v>
      </x:c>
      <x:c r="M3" s="11" t="str">
        <x:v>73(5)(a)</x:v>
      </x:c>
      <x:c r="N3" s="22" t="n">
        <x:v>23</x:v>
      </x:c>
      <x:c r="O3" s="11" t="str">
        <x:v>23A</x:v>
      </x:c>
      <x:c r="P3" s="11" t="str">
        <x:v>Sri Lanka declared Urban Development Areas; site/local-plan applicability and later amendments pending</x:v>
      </x:c>
      <x:c r="Q3" s="23" t="n">
        <x:v>44385</x:v>
      </x:c>
      <x:c r="R3" s="23"/>
      <x:c r="S3" s="11" t="str">
        <x:v>source_checked</x:v>
      </x:c>
      <x:c r="T3" s="11" t="str">
        <x:v>AI extraction; professional review pending</x:v>
      </x:c>
      <x:c r="U3" s="23" t="n">
        <x:v>46314</x:v>
      </x:c>
      <x:c r="V3" s="11" t="str">
        <x:v>pending</x:v>
      </x:c>
      <x:c r="W3" s="24" t="b">
        <x:v>0</x:v>
      </x:c>
      <x:c r="X3" s="11" t="str">
        <x:v>{"scope_review_required":true,"entity":"residential_parking","parameter":"combined_entry_exit_width","comparison":"&gt;=","threshold":6,"unit":"m","condition_text":"joint entry and exit"}</x:v>
      </x:c>
      <x:c r="Y3" s="11" t="str"/>
    </x:row>
    <x:row r="4" ht="84" customHeight="1">
      <x:c r="A4" s="8" t="str">
        <x:v>BM_0133</x:v>
      </x:c>
      <x:c r="B4" s="8" t="str">
        <x:v>Parking</x:v>
      </x:c>
      <x:c r="C4" s="8" t="str">
        <x:v>parking</x:v>
      </x:c>
      <x:c r="D4" s="8" t="str">
        <x:v>within_building_line_allowed</x:v>
      </x:c>
      <x:c r="E4" s="8" t="str">
        <x:v>==</x:v>
      </x:c>
      <x:c r="F4" s="25" t="b">
        <x:v>0</x:v>
      </x:c>
      <x:c r="G4" s="8" t="str">
        <x:v>boolean</x:v>
      </x:c>
      <x:c r="H4" s="8" t="str">
        <x:v>no parking within building-line reservation</x:v>
      </x:c>
      <x:c r="I4" s="8" t="str">
        <x:v>regulation</x:v>
      </x:c>
      <x:c r="J4" s="8" t="str">
        <x:v>hard</x:v>
      </x:c>
      <x:c r="K4" s="8" t="str">
        <x:v>SRC_0001</x:v>
      </x:c>
      <x:c r="L4" s="8" t="str">
        <x:v>2235-54_E.pdf</x:v>
      </x:c>
      <x:c r="M4" s="8" t="str">
        <x:v>73(4)</x:v>
      </x:c>
      <x:c r="N4" s="18" t="n">
        <x:v>23</x:v>
      </x:c>
      <x:c r="O4" s="8" t="str">
        <x:v>23A</x:v>
      </x:c>
      <x:c r="P4" s="8" t="str">
        <x:v>Sri Lanka declared Urban Development Areas; site/local-plan applicability and later amendments pending</x:v>
      </x:c>
      <x:c r="Q4" s="20" t="n">
        <x:v>44385</x:v>
      </x:c>
      <x:c r="R4" s="20"/>
      <x:c r="S4" s="8" t="str">
        <x:v>source_checked</x:v>
      </x:c>
      <x:c r="T4" s="8" t="str">
        <x:v>AI extraction; professional review pending</x:v>
      </x:c>
      <x:c r="U4" s="20" t="n">
        <x:v>46314</x:v>
      </x:c>
      <x:c r="V4" s="8" t="str">
        <x:v>pending</x:v>
      </x:c>
      <x:c r="W4" s="21" t="b">
        <x:v>0</x:v>
      </x:c>
      <x:c r="X4" s="8" t="str">
        <x:v>{"scope_review_required":true,"entity":"parking","parameter":"within_building_line_allowed","comparison":"==","threshold":false,"unit":"boolean","condition_text":"no parking within building-line reservation"}</x:v>
      </x:c>
      <x:c r="Y4" s="8" t="str"/>
    </x:row>
    <x:row r="5" ht="84" customHeight="1">
      <x:c r="A5" s="11" t="str">
        <x:v>BM_0134</x:v>
      </x:c>
      <x:c r="B5" s="11" t="str">
        <x:v>Parking</x:v>
      </x:c>
      <x:c r="C5" s="11" t="str">
        <x:v>parking</x:v>
      </x:c>
      <x:c r="D5" s="11" t="str">
        <x:v>manoeuvring_inside_plot</x:v>
      </x:c>
      <x:c r="E5" s="11" t="str">
        <x:v>==</x:v>
      </x:c>
      <x:c r="F5" s="26" t="b">
        <x:v>1</x:v>
      </x:c>
      <x:c r="G5" s="11" t="str">
        <x:v>boolean</x:v>
      </x:c>
      <x:c r="H5" s="11" t="str">
        <x:v>more than two required parking spaces; no reversing from/into street</x:v>
      </x:c>
      <x:c r="I5" s="11" t="str">
        <x:v>regulation</x:v>
      </x:c>
      <x:c r="J5" s="11" t="str">
        <x:v>hard</x:v>
      </x:c>
      <x:c r="K5" s="11" t="str">
        <x:v>SRC_0001</x:v>
      </x:c>
      <x:c r="L5" s="11" t="str">
        <x:v>2235-54_E.pdf</x:v>
      </x:c>
      <x:c r="M5" s="11" t="str">
        <x:v>73(6)</x:v>
      </x:c>
      <x:c r="N5" s="22" t="n">
        <x:v>23</x:v>
      </x:c>
      <x:c r="O5" s="11" t="str">
        <x:v>23A</x:v>
      </x:c>
      <x:c r="P5" s="11" t="str">
        <x:v>Sri Lanka declared Urban Development Areas; site/local-plan applicability and later amendments pending</x:v>
      </x:c>
      <x:c r="Q5" s="23" t="n">
        <x:v>44385</x:v>
      </x:c>
      <x:c r="R5" s="23"/>
      <x:c r="S5" s="11" t="str">
        <x:v>source_checked</x:v>
      </x:c>
      <x:c r="T5" s="11" t="str">
        <x:v>AI extraction; professional review pending</x:v>
      </x:c>
      <x:c r="U5" s="23" t="n">
        <x:v>46314</x:v>
      </x:c>
      <x:c r="V5" s="11" t="str">
        <x:v>pending</x:v>
      </x:c>
      <x:c r="W5" s="24" t="b">
        <x:v>0</x:v>
      </x:c>
      <x:c r="X5" s="11" t="str">
        <x:v>{"scope_review_required":true,"entity":"parking","parameter":"manoeuvring_inside_plot","comparison":"==","threshold":true,"unit":"boolean","condition_text":"more than two required parking spaces; no reversing from/into street"}</x:v>
      </x:c>
      <x:c r="Y5" s="11" t="str"/>
    </x:row>
    <x:row r="6" ht="84" customHeight="1">
      <x:c r="A6" s="8" t="str">
        <x:v>BM_0135</x:v>
      </x:c>
      <x:c r="B6" s="8" t="str">
        <x:v>Parking</x:v>
      </x:c>
      <x:c r="C6" s="8" t="str">
        <x:v>parking_ramp</x:v>
      </x:c>
      <x:c r="D6" s="8" t="str">
        <x:v>separate_entry_exit_clear_width</x:v>
      </x:c>
      <x:c r="E6" s="8" t="str">
        <x:v>&gt;=</x:v>
      </x:c>
      <x:c r="F6" s="10" t="n">
        <x:v>3.5</x:v>
      </x:c>
      <x:c r="G6" s="8" t="str">
        <x:v>m</x:v>
      </x:c>
      <x:c r="H6" s="8" t="str">
        <x:v>ramps clear of footways and obstructions</x:v>
      </x:c>
      <x:c r="I6" s="8" t="str">
        <x:v>regulation</x:v>
      </x:c>
      <x:c r="J6" s="8" t="str">
        <x:v>hard</x:v>
      </x:c>
      <x:c r="K6" s="8" t="str">
        <x:v>SRC_0001</x:v>
      </x:c>
      <x:c r="L6" s="8" t="str">
        <x:v>2235-54_E.pdf</x:v>
      </x:c>
      <x:c r="M6" s="8" t="str">
        <x:v>73(9)</x:v>
      </x:c>
      <x:c r="N6" s="18" t="n">
        <x:v>24</x:v>
      </x:c>
      <x:c r="O6" s="8" t="str">
        <x:v>24A</x:v>
      </x:c>
      <x:c r="P6" s="8" t="str">
        <x:v>Sri Lanka declared Urban Development Areas; site/local-plan applicability and later amendments pending</x:v>
      </x:c>
      <x:c r="Q6" s="20" t="n">
        <x:v>44385</x:v>
      </x:c>
      <x:c r="R6" s="20"/>
      <x:c r="S6" s="8" t="str">
        <x:v>source_checked</x:v>
      </x:c>
      <x:c r="T6" s="8" t="str">
        <x:v>AI extraction; professional review pending</x:v>
      </x:c>
      <x:c r="U6" s="20" t="n">
        <x:v>46314</x:v>
      </x:c>
      <x:c r="V6" s="8" t="str">
        <x:v>pending</x:v>
      </x:c>
      <x:c r="W6" s="21" t="b">
        <x:v>0</x:v>
      </x:c>
      <x:c r="X6" s="8" t="str">
        <x:v>{"scope_review_required":true,"entity":"parking_ramp","parameter":"separate_entry_exit_clear_width","comparison":"&gt;=","threshold":3.5,"unit":"m","condition_text":"ramps clear of footways and obstructions"}</x:v>
      </x:c>
      <x:c r="Y6" s="8" t="str"/>
    </x:row>
    <x:row r="7" ht="84" customHeight="1">
      <x:c r="A7" s="11" t="str">
        <x:v>BM_0136</x:v>
      </x:c>
      <x:c r="B7" s="11" t="str">
        <x:v>Parking</x:v>
      </x:c>
      <x:c r="C7" s="11" t="str">
        <x:v>parking_ramp</x:v>
      </x:c>
      <x:c r="D7" s="11" t="str">
        <x:v>combined_entry_exit_clear_width</x:v>
      </x:c>
      <x:c r="E7" s="11" t="str">
        <x:v>&gt;=</x:v>
      </x:c>
      <x:c r="F7" s="12" t="n">
        <x:v>6</x:v>
      </x:c>
      <x:c r="G7" s="11" t="str">
        <x:v>m</x:v>
      </x:c>
      <x:c r="H7" s="11" t="str">
        <x:v>ramps clear of footways and obstructions</x:v>
      </x:c>
      <x:c r="I7" s="11" t="str">
        <x:v>regulation</x:v>
      </x:c>
      <x:c r="J7" s="11" t="str">
        <x:v>hard</x:v>
      </x:c>
      <x:c r="K7" s="11" t="str">
        <x:v>SRC_0001</x:v>
      </x:c>
      <x:c r="L7" s="11" t="str">
        <x:v>2235-54_E.pdf</x:v>
      </x:c>
      <x:c r="M7" s="11" t="str">
        <x:v>73(9)</x:v>
      </x:c>
      <x:c r="N7" s="22" t="n">
        <x:v>24</x:v>
      </x:c>
      <x:c r="O7" s="11" t="str">
        <x:v>24A</x:v>
      </x:c>
      <x:c r="P7" s="11" t="str">
        <x:v>Sri Lanka declared Urban Development Areas; site/local-plan applicability and later amendments pending</x:v>
      </x:c>
      <x:c r="Q7" s="23" t="n">
        <x:v>44385</x:v>
      </x:c>
      <x:c r="R7" s="23"/>
      <x:c r="S7" s="11" t="str">
        <x:v>source_checked</x:v>
      </x:c>
      <x:c r="T7" s="11" t="str">
        <x:v>AI extraction; professional review pending</x:v>
      </x:c>
      <x:c r="U7" s="23" t="n">
        <x:v>46314</x:v>
      </x:c>
      <x:c r="V7" s="11" t="str">
        <x:v>pending</x:v>
      </x:c>
      <x:c r="W7" s="24" t="b">
        <x:v>0</x:v>
      </x:c>
      <x:c r="X7" s="11" t="str">
        <x:v>{"scope_review_required":true,"entity":"parking_ramp","parameter":"combined_entry_exit_clear_width","comparison":"&gt;=","threshold":6,"unit":"m","condition_text":"ramps clear of footways and obstructions"}</x:v>
      </x:c>
      <x:c r="Y7" s="11" t="str"/>
    </x:row>
    <x:row r="8" ht="84" customHeight="1">
      <x:c r="A8" s="8" t="str">
        <x:v>BM_0137</x:v>
      </x:c>
      <x:c r="B8" s="8" t="str">
        <x:v>Parking</x:v>
      </x:c>
      <x:c r="C8" s="8" t="str">
        <x:v>multistorey_parking_ramp</x:v>
      </x:c>
      <x:c r="D8" s="8" t="str">
        <x:v>clear_height</x:v>
      </x:c>
      <x:c r="E8" s="8" t="str">
        <x:v>&gt;=</x:v>
      </x:c>
      <x:c r="F8" s="10" t="n">
        <x:v>2.4</x:v>
      </x:c>
      <x:c r="G8" s="8" t="str">
        <x:v>m</x:v>
      </x:c>
      <x:c r="H8" s="8" t="str">
        <x:v>from lowest soffit/beam/service line to ramp</x:v>
      </x:c>
      <x:c r="I8" s="8" t="str">
        <x:v>regulation</x:v>
      </x:c>
      <x:c r="J8" s="8" t="str">
        <x:v>hard</x:v>
      </x:c>
      <x:c r="K8" s="8" t="str">
        <x:v>SRC_0001</x:v>
      </x:c>
      <x:c r="L8" s="8" t="str">
        <x:v>2235-54_E.pdf</x:v>
      </x:c>
      <x:c r="M8" s="8" t="str">
        <x:v>73(10)</x:v>
      </x:c>
      <x:c r="N8" s="18" t="n">
        <x:v>24</x:v>
      </x:c>
      <x:c r="O8" s="8" t="str">
        <x:v>24A</x:v>
      </x:c>
      <x:c r="P8" s="8" t="str">
        <x:v>Sri Lanka declared Urban Development Areas; site/local-plan applicability and later amendments pending</x:v>
      </x:c>
      <x:c r="Q8" s="20" t="n">
        <x:v>44385</x:v>
      </x:c>
      <x:c r="R8" s="20"/>
      <x:c r="S8" s="8" t="str">
        <x:v>source_checked</x:v>
      </x:c>
      <x:c r="T8" s="8" t="str">
        <x:v>AI extraction; professional review pending</x:v>
      </x:c>
      <x:c r="U8" s="20" t="n">
        <x:v>46314</x:v>
      </x:c>
      <x:c r="V8" s="8" t="str">
        <x:v>pending</x:v>
      </x:c>
      <x:c r="W8" s="21" t="b">
        <x:v>0</x:v>
      </x:c>
      <x:c r="X8" s="8" t="str">
        <x:v>{"scope_review_required":true,"entity":"multistorey_parking_ramp","parameter":"clear_height","comparison":"&gt;=","threshold":2.4,"unit":"m","condition_text":"from lowest soffit/beam/service line to ramp"}</x:v>
      </x:c>
      <x:c r="Y8" s="8" t="str"/>
    </x:row>
    <x:row r="9" ht="70" customHeight="1">
      <x:c r="A9" s="11" t="str">
        <x:v>BM_0138</x:v>
      </x:c>
      <x:c r="B9" s="11" t="str">
        <x:v>Parking</x:v>
      </x:c>
      <x:c r="C9" s="11" t="str">
        <x:v>inclined_parking_floor</x:v>
      </x:c>
      <x:c r="D9" s="11" t="str">
        <x:v>gradient</x:v>
      </x:c>
      <x:c r="E9" s="11" t="str">
        <x:v>&lt;=</x:v>
      </x:c>
      <x:c r="F9" s="12" t="n">
        <x:v>0.05</x:v>
      </x:c>
      <x:c r="G9" s="11" t="str">
        <x:v>ratio</x:v>
      </x:c>
      <x:c r="H9" s="11" t="str">
        <x:v>1:20 maximum gradient</x:v>
      </x:c>
      <x:c r="I9" s="11" t="str">
        <x:v>regulation</x:v>
      </x:c>
      <x:c r="J9" s="11" t="str">
        <x:v>hard</x:v>
      </x:c>
      <x:c r="K9" s="11" t="str">
        <x:v>SRC_0001</x:v>
      </x:c>
      <x:c r="L9" s="11" t="str">
        <x:v>2235-54_E.pdf</x:v>
      </x:c>
      <x:c r="M9" s="11" t="str">
        <x:v>73(12)</x:v>
      </x:c>
      <x:c r="N9" s="22" t="n">
        <x:v>24</x:v>
      </x:c>
      <x:c r="O9" s="11" t="str">
        <x:v>24A</x:v>
      </x:c>
      <x:c r="P9" s="11" t="str">
        <x:v>Sri Lanka declared Urban Development Areas; site/local-plan applicability and later amendments pending</x:v>
      </x:c>
      <x:c r="Q9" s="23" t="n">
        <x:v>44385</x:v>
      </x:c>
      <x:c r="R9" s="23"/>
      <x:c r="S9" s="11" t="str">
        <x:v>source_checked</x:v>
      </x:c>
      <x:c r="T9" s="11" t="str">
        <x:v>AI extraction; professional review pending</x:v>
      </x:c>
      <x:c r="U9" s="23" t="n">
        <x:v>46314</x:v>
      </x:c>
      <x:c r="V9" s="11" t="str">
        <x:v>pending</x:v>
      </x:c>
      <x:c r="W9" s="24" t="b">
        <x:v>0</x:v>
      </x:c>
      <x:c r="X9" s="11" t="str">
        <x:v>{"scope_review_required":true,"entity":"inclined_parking_floor","parameter":"gradient","comparison":"&lt;=","threshold":0.05,"unit":"ratio","condition_text":"1:20 maximum gradient"}</x:v>
      </x:c>
      <x:c r="Y9" s="11" t="str"/>
    </x:row>
    <x:row r="10" ht="98" customHeight="1">
      <x:c r="A10" s="8" t="str">
        <x:v>BM_0139</x:v>
      </x:c>
      <x:c r="B10" s="8" t="str">
        <x:v>Parking</x:v>
      </x:c>
      <x:c r="C10" s="8" t="str">
        <x:v>single_housing_unit</x:v>
      </x:c>
      <x:c r="D10" s="8" t="str">
        <x:v>base_parking_spaces</x:v>
      </x:c>
      <x:c r="E10" s="8" t="str">
        <x:v>&gt;=</x:v>
      </x:c>
      <x:c r="F10" s="10" t="n">
        <x:v>1</x:v>
      </x:c>
      <x:c r="G10" s="8" t="str">
        <x:v>count</x:v>
      </x:c>
      <x:c r="H10" s="8" t="str">
        <x:v>Single housing unit / circuit bungalow. Additional requirement for area exceeding 400m2 has unclear increment and needs review.</x:v>
      </x:c>
      <x:c r="I10" s="8" t="str">
        <x:v>regulation</x:v>
      </x:c>
      <x:c r="J10" s="8" t="str">
        <x:v>hard</x:v>
      </x:c>
      <x:c r="K10" s="8" t="str">
        <x:v>SRC_0001</x:v>
      </x:c>
      <x:c r="L10" s="8" t="str">
        <x:v>2235-54_E.pdf</x:v>
      </x:c>
      <x:c r="M10" s="8" t="str">
        <x:v>Schedule 10</x:v>
      </x:c>
      <x:c r="N10" s="18" t="n">
        <x:v>125</x:v>
      </x:c>
      <x:c r="O10" s="8" t="str">
        <x:v>125A</x:v>
      </x:c>
      <x:c r="P10" s="8" t="str">
        <x:v>Sri Lanka declared Urban Development Areas; site/local-plan applicability and later amendments pending</x:v>
      </x:c>
      <x:c r="Q10" s="20" t="n">
        <x:v>44385</x:v>
      </x:c>
      <x:c r="R10" s="20"/>
      <x:c r="S10" s="8" t="str">
        <x:v>source_checked</x:v>
      </x:c>
      <x:c r="T10" s="8" t="str">
        <x:v>AI extraction; professional review pending</x:v>
      </x:c>
      <x:c r="U10" s="20" t="n">
        <x:v>46314</x:v>
      </x:c>
      <x:c r="V10" s="8" t="str">
        <x:v>pending</x:v>
      </x:c>
      <x:c r="W10" s="21" t="b">
        <x:v>0</x:v>
      </x:c>
      <x:c r="X10" s="8" t="str">
        <x:v>{"scope_review_required":true,"entity":"single_housing_unit","parameter":"base_parking_spaces","comparison":"&gt;=","threshold":1,"unit":"count","condition_text":"Single housing unit / circuit bungalow. Additional requirement for area exceeding 400m2 has unclear increment and needs review."}</x:v>
      </x:c>
      <x:c r="Y10" s="8" t="str"/>
    </x:row>
    <x:row r="11" ht="98" customHeight="1">
      <x:c r="A11" s="11" t="str">
        <x:v>BM_0140</x:v>
      </x:c>
      <x:c r="B11" s="11" t="str">
        <x:v>Parking</x:v>
      </x:c>
      <x:c r="C11" s="11" t="str">
        <x:v>single_housing_unit</x:v>
      </x:c>
      <x:c r="D11" s="11" t="str">
        <x:v>additional_parking_area_threshold</x:v>
      </x:c>
      <x:c r="E11" s="11" t="str">
        <x:v>&gt;</x:v>
      </x:c>
      <x:c r="F11" s="12" t="n">
        <x:v>400</x:v>
      </x:c>
      <x:c r="G11" s="11" t="str">
        <x:v>m2</x:v>
      </x:c>
      <x:c r="H11" s="11" t="str">
        <x:v>source says additional space for area exceeding 400m2; increment not stated clearly</x:v>
      </x:c>
      <x:c r="I11" s="11" t="str">
        <x:v>regulation</x:v>
      </x:c>
      <x:c r="J11" s="11" t="str">
        <x:v>hard</x:v>
      </x:c>
      <x:c r="K11" s="11" t="str">
        <x:v>SRC_0001</x:v>
      </x:c>
      <x:c r="L11" s="11" t="str">
        <x:v>2235-54_E.pdf</x:v>
      </x:c>
      <x:c r="M11" s="11" t="str">
        <x:v>Schedule 10</x:v>
      </x:c>
      <x:c r="N11" s="22" t="n">
        <x:v>125</x:v>
      </x:c>
      <x:c r="O11" s="11" t="str">
        <x:v>125A</x:v>
      </x:c>
      <x:c r="P11" s="11" t="str">
        <x:v>Sri Lanka declared Urban Development Areas; site/local-plan applicability and later amendments pending</x:v>
      </x:c>
      <x:c r="Q11" s="23" t="n">
        <x:v>44385</x:v>
      </x:c>
      <x:c r="R11" s="23"/>
      <x:c r="S11" s="11" t="str">
        <x:v>interpretation_pending</x:v>
      </x:c>
      <x:c r="T11" s="11" t="str">
        <x:v>AI extraction; professional review pending</x:v>
      </x:c>
      <x:c r="U11" s="23" t="n">
        <x:v>46314</x:v>
      </x:c>
      <x:c r="V11" s="11" t="str">
        <x:v>pending</x:v>
      </x:c>
      <x:c r="W11" s="24" t="b">
        <x:v>0</x:v>
      </x:c>
      <x:c r="X11" s="11" t="str">
        <x:v>{"scope_review_required":true,"entity":"single_housing_unit","parameter":"additional_parking_area_threshold","comparison":"&gt;","threshold":400,"unit":"m2","condition_text":"source says additional space for area exceeding 400m2; increment not stated clearly"}</x:v>
      </x:c>
      <x:c r="Y11" s="11" t="str">
        <x:v>Do not invent per-400m2 formula.</x:v>
      </x:c>
    </x:row>
  </x:sheetData>
  <x:conditionalFormatting sqref="S2:S11">
    <x:cfRule type="containsText" dxfId="20" priority="1" operator="containsText" text="pending"/>
    <x:cfRule type="containsText" dxfId="21" priority="2" operator="containsText" text="conflict"/>
  </x:conditionalFormatting>
  <x:conditionalFormatting sqref="V2:V11">
    <x:cfRule type="containsText" dxfId="22" priority="3" operator="containsText" text="pending"/>
    <x:cfRule type="containsText" dxfId="23" priority="4" operator="containsText" text="conflict"/>
  </x:conditionalFormatting>
  <x:pageMargins left="0.7" right="0.7" top="0.75" bottom="0.75" header="0.3" footer="0.3"/>
  <x:tableParts count="1">
    <x:tablePart xmlns:r="http://schemas.openxmlformats.org/officeDocument/2006/relationships" r:id="R095659e100ea4989"/>
  </x:tableParts>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32" hidden="0" customWidth="1"/>
    <x:col min="4" max="4" width="32" hidden="0" customWidth="1"/>
    <x:col min="5" max="5" width="22" hidden="0" customWidth="1"/>
    <x:col min="6" max="6" width="22" hidden="0" customWidth="1"/>
    <x:col min="7" max="7" width="22" hidden="0" customWidth="1"/>
    <x:col min="8" max="8" width="62" hidden="0" customWidth="1"/>
    <x:col min="9" max="9" width="22" hidden="0" customWidth="1"/>
    <x:col min="10" max="10" width="22" hidden="0" customWidth="1"/>
    <x:col min="11" max="11" width="22" hidden="0" customWidth="1"/>
    <x:col min="12" max="12" width="32" hidden="0" customWidth="1"/>
    <x:col min="13" max="13" width="32" hidden="0" customWidth="1"/>
    <x:col min="14" max="14" width="22" hidden="0" customWidth="1"/>
    <x:col min="15" max="15" width="22" hidden="0" customWidth="1"/>
    <x:col min="16" max="16" width="32" hidden="0" customWidth="1"/>
    <x:col min="17" max="17" width="22" hidden="0" customWidth="1"/>
    <x:col min="18" max="18" width="22" hidden="0" customWidth="1"/>
    <x:col min="19" max="19" width="32" hidden="0" customWidth="1"/>
    <x:col min="20" max="20" width="32" hidden="0" customWidth="1"/>
    <x:col min="21" max="21" width="22" hidden="0" customWidth="1"/>
    <x:col min="22" max="22" width="22" hidden="0" customWidth="1"/>
    <x:col min="23" max="23" width="22" hidden="0" customWidth="1"/>
    <x:col min="24" max="24" width="62" hidden="0" customWidth="1"/>
    <x:col min="25" max="25" width="62" hidden="0" customWidth="1"/>
  </x:cols>
  <x:sheetData>
    <x:row r="1" ht="44" customHeight="1">
      <x:c r="A1" s="7" t="str">
        <x:v>rule_id</x:v>
      </x:c>
      <x:c r="B1" s="7" t="str">
        <x:v>category</x:v>
      </x:c>
      <x:c r="C1" s="7" t="str">
        <x:v>entity</x:v>
      </x:c>
      <x:c r="D1" s="7" t="str">
        <x:v>parameter</x:v>
      </x:c>
      <x:c r="E1" s="7" t="str">
        <x:v>operator</x:v>
      </x:c>
      <x:c r="F1" s="9" t="str">
        <x:v>value</x:v>
      </x:c>
      <x:c r="G1" s="7" t="str">
        <x:v>unit</x:v>
      </x:c>
      <x:c r="H1" s="7" t="str">
        <x:v>condition</x:v>
      </x:c>
      <x:c r="I1" s="7" t="str">
        <x:v>rule_type</x:v>
      </x:c>
      <x:c r="J1" s="7" t="str">
        <x:v>severity</x:v>
      </x:c>
      <x:c r="K1" s="7" t="str">
        <x:v>source_id</x:v>
      </x:c>
      <x:c r="L1" s="7" t="str">
        <x:v>source_document</x:v>
      </x:c>
      <x:c r="M1" s="7" t="str">
        <x:v>source_clause</x:v>
      </x:c>
      <x:c r="N1" s="17" t="str">
        <x:v>pdf_page</x:v>
      </x:c>
      <x:c r="O1" s="7" t="str">
        <x:v>printed_page</x:v>
      </x:c>
      <x:c r="P1" s="7" t="str">
        <x:v>jurisdiction</x:v>
      </x:c>
      <x:c r="Q1" s="19" t="str">
        <x:v>source_date</x:v>
      </x:c>
      <x:c r="R1" s="19" t="str">
        <x:v>effective_date</x:v>
      </x:c>
      <x:c r="S1" s="7" t="str">
        <x:v>verification_status</x:v>
      </x:c>
      <x:c r="T1" s="7" t="str">
        <x:v>verified_by</x:v>
      </x:c>
      <x:c r="U1" s="19" t="str">
        <x:v>checked_on</x:v>
      </x:c>
      <x:c r="V1" s="7" t="str">
        <x:v>applicability_status</x:v>
      </x:c>
      <x:c r="W1" s="7" t="str">
        <x:v>enable_in_production</x:v>
      </x:c>
      <x:c r="X1" s="7" t="str">
        <x:v>condition_json</x:v>
      </x:c>
      <x:c r="Y1" s="7" t="str">
        <x:v>notes</x:v>
      </x:c>
    </x:row>
    <x:row r="2" ht="84" customHeight="1">
      <x:c r="A2" s="8" t="str">
        <x:v>BM_0142</x:v>
      </x:c>
      <x:c r="B2" s="8" t="str">
        <x:v>Local Review</x:v>
      </x:c>
      <x:c r="C2" s="8" t="str">
        <x:v>habitable_room</x:v>
      </x:c>
      <x:c r="D2" s="8" t="str">
        <x:v>floor_area</x:v>
      </x:c>
      <x:c r="E2" s="8" t="str">
        <x:v>&gt;=</x:v>
      </x:c>
      <x:c r="F2" s="10" t="n">
        <x:v>8</x:v>
      </x:c>
      <x:c r="G2" s="8" t="str">
        <x:v>m2</x:v>
      </x:c>
      <x:c r="H2" s="8" t="str">
        <x:v>historical/local Colombo source; do not merge with Gazette Schedule 7</x:v>
      </x:c>
      <x:c r="I2" s="8" t="str">
        <x:v>regulation</x:v>
      </x:c>
      <x:c r="J2" s="8" t="str">
        <x:v>hard</x:v>
      </x:c>
      <x:c r="K2" s="8" t="str">
        <x:v>SRC_0099</x:v>
      </x:c>
      <x:c r="L2" s="8" t="str">
        <x:v>cityofColombo.pdf</x:v>
      </x:c>
      <x:c r="M2" s="8" t="str">
        <x:v>48</x:v>
      </x:c>
      <x:c r="N2" s="18" t="n">
        <x:v>41</x:v>
      </x:c>
      <x:c r="O2" s="8" t="str"/>
      <x:c r="P2" s="8" t="str">
        <x:v>Local source only; applicability pending</x:v>
      </x:c>
      <x:c r="Q2" s="20" t="str"/>
      <x:c r="R2" s="20"/>
      <x:c r="S2" s="8" t="str">
        <x:v>historical_candidate</x:v>
      </x:c>
      <x:c r="T2" s="8" t="str">
        <x:v>AI extraction; professional review pending</x:v>
      </x:c>
      <x:c r="U2" s="20" t="n">
        <x:v>46314</x:v>
      </x:c>
      <x:c r="V2" s="8" t="str">
        <x:v>pending</x:v>
      </x:c>
      <x:c r="W2" s="21" t="b">
        <x:v>0</x:v>
      </x:c>
      <x:c r="X2" s="8" t="str">
        <x:v>{"scope_review_required":true,"entity":"habitable_room","parameter":"floor_area","comparison":"&gt;=","threshold":8,"unit":"m2","condition_text":"historical/local Colombo source; do not merge with Gazette Schedule 7"}</x:v>
      </x:c>
      <x:c r="Y2" s="8" t="str">
        <x:v>Version and later supersession unresolved.</x:v>
      </x:c>
    </x:row>
    <x:row r="3" ht="84" customHeight="1">
      <x:c r="A3" s="11" t="str">
        <x:v>BM_0143</x:v>
      </x:c>
      <x:c r="B3" s="11" t="str">
        <x:v>Local Review</x:v>
      </x:c>
      <x:c r="C3" s="11" t="str">
        <x:v>habitable_room</x:v>
      </x:c>
      <x:c r="D3" s="11" t="str">
        <x:v>clear_width</x:v>
      </x:c>
      <x:c r="E3" s="11" t="str">
        <x:v>&gt;=</x:v>
      </x:c>
      <x:c r="F3" s="12" t="n">
        <x:v>2.5</x:v>
      </x:c>
      <x:c r="G3" s="11" t="str">
        <x:v>m</x:v>
      </x:c>
      <x:c r="H3" s="11" t="str">
        <x:v>historical/local Colombo source; do not merge with Gazette Schedule 7</x:v>
      </x:c>
      <x:c r="I3" s="11" t="str">
        <x:v>regulation</x:v>
      </x:c>
      <x:c r="J3" s="11" t="str">
        <x:v>hard</x:v>
      </x:c>
      <x:c r="K3" s="11" t="str">
        <x:v>SRC_0099</x:v>
      </x:c>
      <x:c r="L3" s="11" t="str">
        <x:v>cityofColombo.pdf</x:v>
      </x:c>
      <x:c r="M3" s="11" t="str">
        <x:v>48</x:v>
      </x:c>
      <x:c r="N3" s="22" t="n">
        <x:v>41</x:v>
      </x:c>
      <x:c r="O3" s="11" t="str"/>
      <x:c r="P3" s="11" t="str">
        <x:v>Local source only; applicability pending</x:v>
      </x:c>
      <x:c r="Q3" s="23" t="str"/>
      <x:c r="R3" s="23"/>
      <x:c r="S3" s="11" t="str">
        <x:v>historical_candidate</x:v>
      </x:c>
      <x:c r="T3" s="11" t="str">
        <x:v>AI extraction; professional review pending</x:v>
      </x:c>
      <x:c r="U3" s="23" t="n">
        <x:v>46314</x:v>
      </x:c>
      <x:c r="V3" s="11" t="str">
        <x:v>pending</x:v>
      </x:c>
      <x:c r="W3" s="24" t="b">
        <x:v>0</x:v>
      </x:c>
      <x:c r="X3" s="11" t="str">
        <x:v>{"scope_review_required":true,"entity":"habitable_room","parameter":"clear_width","comparison":"&gt;=","threshold":2.5,"unit":"m","condition_text":"historical/local Colombo source; do not merge with Gazette Schedule 7"}</x:v>
      </x:c>
      <x:c r="Y3" s="11" t="str">
        <x:v>Version and later supersession unresolved.</x:v>
      </x:c>
    </x:row>
    <x:row r="4" ht="84" customHeight="1">
      <x:c r="A4" s="8" t="str">
        <x:v>BM_0144</x:v>
      </x:c>
      <x:c r="B4" s="8" t="str">
        <x:v>Local Review</x:v>
      </x:c>
      <x:c r="C4" s="8" t="str">
        <x:v>kitchen</x:v>
      </x:c>
      <x:c r="D4" s="8" t="str">
        <x:v>floor_area</x:v>
      </x:c>
      <x:c r="E4" s="8" t="str">
        <x:v>&gt;=</x:v>
      </x:c>
      <x:c r="F4" s="10" t="n">
        <x:v>5</x:v>
      </x:c>
      <x:c r="G4" s="8" t="str">
        <x:v>m2</x:v>
      </x:c>
      <x:c r="H4" s="8" t="str">
        <x:v>historical/local Colombo source; do not merge with Gazette Schedule 7</x:v>
      </x:c>
      <x:c r="I4" s="8" t="str">
        <x:v>regulation</x:v>
      </x:c>
      <x:c r="J4" s="8" t="str">
        <x:v>hard</x:v>
      </x:c>
      <x:c r="K4" s="8" t="str">
        <x:v>SRC_0099</x:v>
      </x:c>
      <x:c r="L4" s="8" t="str">
        <x:v>cityofColombo.pdf</x:v>
      </x:c>
      <x:c r="M4" s="8" t="str">
        <x:v>48</x:v>
      </x:c>
      <x:c r="N4" s="18" t="n">
        <x:v>41</x:v>
      </x:c>
      <x:c r="O4" s="8" t="str"/>
      <x:c r="P4" s="8" t="str">
        <x:v>Local source only; applicability pending</x:v>
      </x:c>
      <x:c r="Q4" s="20" t="str"/>
      <x:c r="R4" s="20"/>
      <x:c r="S4" s="8" t="str">
        <x:v>historical_candidate</x:v>
      </x:c>
      <x:c r="T4" s="8" t="str">
        <x:v>AI extraction; professional review pending</x:v>
      </x:c>
      <x:c r="U4" s="20" t="n">
        <x:v>46314</x:v>
      </x:c>
      <x:c r="V4" s="8" t="str">
        <x:v>pending</x:v>
      </x:c>
      <x:c r="W4" s="21" t="b">
        <x:v>0</x:v>
      </x:c>
      <x:c r="X4" s="8" t="str">
        <x:v>{"scope_review_required":true,"entity":"kitchen","parameter":"floor_area","comparison":"&gt;=","threshold":5,"unit":"m2","condition_text":"historical/local Colombo source; do not merge with Gazette Schedule 7"}</x:v>
      </x:c>
      <x:c r="Y4" s="8" t="str">
        <x:v>Version and later supersession unresolved.</x:v>
      </x:c>
    </x:row>
    <x:row r="5" ht="84" customHeight="1">
      <x:c r="A5" s="11" t="str">
        <x:v>BM_0145</x:v>
      </x:c>
      <x:c r="B5" s="11" t="str">
        <x:v>Local Review</x:v>
      </x:c>
      <x:c r="C5" s="11" t="str">
        <x:v>kitchen</x:v>
      </x:c>
      <x:c r="D5" s="11" t="str">
        <x:v>clear_width</x:v>
      </x:c>
      <x:c r="E5" s="11" t="str">
        <x:v>&gt;=</x:v>
      </x:c>
      <x:c r="F5" s="12" t="n">
        <x:v>2</x:v>
      </x:c>
      <x:c r="G5" s="11" t="str">
        <x:v>m</x:v>
      </x:c>
      <x:c r="H5" s="11" t="str">
        <x:v>historical/local Colombo source; do not merge with Gazette Schedule 7</x:v>
      </x:c>
      <x:c r="I5" s="11" t="str">
        <x:v>regulation</x:v>
      </x:c>
      <x:c r="J5" s="11" t="str">
        <x:v>hard</x:v>
      </x:c>
      <x:c r="K5" s="11" t="str">
        <x:v>SRC_0099</x:v>
      </x:c>
      <x:c r="L5" s="11" t="str">
        <x:v>cityofColombo.pdf</x:v>
      </x:c>
      <x:c r="M5" s="11" t="str">
        <x:v>48</x:v>
      </x:c>
      <x:c r="N5" s="22" t="n">
        <x:v>41</x:v>
      </x:c>
      <x:c r="O5" s="11" t="str"/>
      <x:c r="P5" s="11" t="str">
        <x:v>Local source only; applicability pending</x:v>
      </x:c>
      <x:c r="Q5" s="23" t="str"/>
      <x:c r="R5" s="23"/>
      <x:c r="S5" s="11" t="str">
        <x:v>historical_candidate</x:v>
      </x:c>
      <x:c r="T5" s="11" t="str">
        <x:v>AI extraction; professional review pending</x:v>
      </x:c>
      <x:c r="U5" s="23" t="n">
        <x:v>46314</x:v>
      </x:c>
      <x:c r="V5" s="11" t="str">
        <x:v>pending</x:v>
      </x:c>
      <x:c r="W5" s="24" t="b">
        <x:v>0</x:v>
      </x:c>
      <x:c r="X5" s="11" t="str">
        <x:v>{"scope_review_required":true,"entity":"kitchen","parameter":"clear_width","comparison":"&gt;=","threshold":2,"unit":"m","condition_text":"historical/local Colombo source; do not merge with Gazette Schedule 7"}</x:v>
      </x:c>
      <x:c r="Y5" s="11" t="str">
        <x:v>Version and later supersession unresolved.</x:v>
      </x:c>
    </x:row>
    <x:row r="6" ht="84" customHeight="1">
      <x:c r="A6" s="8" t="str">
        <x:v>BM_0146</x:v>
      </x:c>
      <x:c r="B6" s="8" t="str">
        <x:v>Local Review</x:v>
      </x:c>
      <x:c r="C6" s="8" t="str">
        <x:v>hostel_boarding_bedroom</x:v>
      </x:c>
      <x:c r="D6" s="8" t="str">
        <x:v>floor_area_per_three_occupants</x:v>
      </x:c>
      <x:c r="E6" s="8" t="str">
        <x:v>&gt;=</x:v>
      </x:c>
      <x:c r="F6" s="10" t="n">
        <x:v>9</x:v>
      </x:c>
      <x:c r="G6" s="8" t="str">
        <x:v>m2</x:v>
      </x:c>
      <x:c r="H6" s="8" t="str">
        <x:v>Hostel/boarding only; not ordinary dwelling</x:v>
      </x:c>
      <x:c r="I6" s="8" t="str">
        <x:v>regulation</x:v>
      </x:c>
      <x:c r="J6" s="8" t="str">
        <x:v>hard</x:v>
      </x:c>
      <x:c r="K6" s="8" t="str">
        <x:v>SRC_0007</x:v>
      </x:c>
      <x:c r="L6" s="8" t="str">
        <x:v>BandarawelaE.pdf</x:v>
      </x:c>
      <x:c r="M6" s="8" t="str">
        <x:v>59(a)</x:v>
      </x:c>
      <x:c r="N6" s="18" t="n">
        <x:v>230</x:v>
      </x:c>
      <x:c r="O6" s="8" t="str"/>
      <x:c r="P6" s="8" t="str">
        <x:v>Local source only; applicability pending</x:v>
      </x:c>
      <x:c r="Q6" s="20" t="str"/>
      <x:c r="R6" s="20"/>
      <x:c r="S6" s="8" t="str">
        <x:v>source_checked</x:v>
      </x:c>
      <x:c r="T6" s="8" t="str">
        <x:v>AI extraction; professional review pending</x:v>
      </x:c>
      <x:c r="U6" s="20" t="n">
        <x:v>46314</x:v>
      </x:c>
      <x:c r="V6" s="8" t="str">
        <x:v>pending</x:v>
      </x:c>
      <x:c r="W6" s="21" t="b">
        <x:v>0</x:v>
      </x:c>
      <x:c r="X6" s="8" t="str">
        <x:v>{"scope_review_required":true,"entity":"hostel_boarding_bedroom","parameter":"floor_area_per_three_occupants","comparison":"&gt;=","threshold":9,"unit":"m2","condition_text":"Hostel/boarding only; not ordinary dwelling"}</x:v>
      </x:c>
      <x:c r="Y6" s="8" t="str">
        <x:v>Printed page 125. Local applicability pending.</x:v>
      </x:c>
    </x:row>
    <x:row r="7" ht="84" customHeight="1">
      <x:c r="A7" s="11" t="str">
        <x:v>BM_0147</x:v>
      </x:c>
      <x:c r="B7" s="11" t="str">
        <x:v>Local Review</x:v>
      </x:c>
      <x:c r="C7" s="11" t="str">
        <x:v>hostel_boarding_bedroom</x:v>
      </x:c>
      <x:c r="D7" s="11" t="str">
        <x:v>minimum_side</x:v>
      </x:c>
      <x:c r="E7" s="11" t="str">
        <x:v>&gt;=</x:v>
      </x:c>
      <x:c r="F7" s="12" t="n">
        <x:v>2.5</x:v>
      </x:c>
      <x:c r="G7" s="11" t="str">
        <x:v>m</x:v>
      </x:c>
      <x:c r="H7" s="11" t="str">
        <x:v>Hostel/boarding only; not ordinary dwelling</x:v>
      </x:c>
      <x:c r="I7" s="11" t="str">
        <x:v>regulation</x:v>
      </x:c>
      <x:c r="J7" s="11" t="str">
        <x:v>hard</x:v>
      </x:c>
      <x:c r="K7" s="11" t="str">
        <x:v>SRC_0007</x:v>
      </x:c>
      <x:c r="L7" s="11" t="str">
        <x:v>BandarawelaE.pdf</x:v>
      </x:c>
      <x:c r="M7" s="11" t="str">
        <x:v>59(a)</x:v>
      </x:c>
      <x:c r="N7" s="22" t="n">
        <x:v>230</x:v>
      </x:c>
      <x:c r="O7" s="11" t="str"/>
      <x:c r="P7" s="11" t="str">
        <x:v>Local source only; applicability pending</x:v>
      </x:c>
      <x:c r="Q7" s="23" t="str"/>
      <x:c r="R7" s="23"/>
      <x:c r="S7" s="11" t="str">
        <x:v>source_checked</x:v>
      </x:c>
      <x:c r="T7" s="11" t="str">
        <x:v>AI extraction; professional review pending</x:v>
      </x:c>
      <x:c r="U7" s="23" t="n">
        <x:v>46314</x:v>
      </x:c>
      <x:c r="V7" s="11" t="str">
        <x:v>pending</x:v>
      </x:c>
      <x:c r="W7" s="24" t="b">
        <x:v>0</x:v>
      </x:c>
      <x:c r="X7" s="11" t="str">
        <x:v>{"scope_review_required":true,"entity":"hostel_boarding_bedroom","parameter":"minimum_side","comparison":"&gt;=","threshold":2.5,"unit":"m","condition_text":"Hostel/boarding only; not ordinary dwelling"}</x:v>
      </x:c>
      <x:c r="Y7" s="11" t="str">
        <x:v>Printed page 125. Local applicability pending.</x:v>
      </x:c>
    </x:row>
    <x:row r="8" ht="70" customHeight="1">
      <x:c r="A8" s="8" t="str">
        <x:v>BM_0148</x:v>
      </x:c>
      <x:c r="B8" s="8" t="str">
        <x:v>Local Review</x:v>
      </x:c>
      <x:c r="C8" s="8" t="str">
        <x:v>hostel_boarding_bedroom</x:v>
      </x:c>
      <x:c r="D8" s="8" t="str">
        <x:v>floor_area_per_three_occupants</x:v>
      </x:c>
      <x:c r="E8" s="8" t="str">
        <x:v>&gt;=</x:v>
      </x:c>
      <x:c r="F8" s="10" t="n">
        <x:v>0.9</x:v>
      </x:c>
      <x:c r="G8" s="8" t="str">
        <x:v>m2</x:v>
      </x:c>
      <x:c r="H8" s="8" t="str">
        <x:v>Hostel/boarding only</x:v>
      </x:c>
      <x:c r="I8" s="8" t="str">
        <x:v>regulation</x:v>
      </x:c>
      <x:c r="J8" s="8" t="str">
        <x:v>hard</x:v>
      </x:c>
      <x:c r="K8" s="8" t="str">
        <x:v>SRC_0063</x:v>
      </x:c>
      <x:c r="L8" s="8" t="str">
        <x:v>Monaragala_E_20240913.pdf</x:v>
      </x:c>
      <x:c r="M8" s="8" t="str">
        <x:v>Hostels/Boarding Rooms</x:v>
      </x:c>
      <x:c r="N8" s="18" t="n">
        <x:v>193</x:v>
      </x:c>
      <x:c r="O8" s="8" t="str"/>
      <x:c r="P8" s="8" t="str">
        <x:v>Local source only; applicability pending</x:v>
      </x:c>
      <x:c r="Q8" s="20" t="str"/>
      <x:c r="R8" s="20"/>
      <x:c r="S8" s="8" t="str">
        <x:v>source_conflict</x:v>
      </x:c>
      <x:c r="T8" s="8" t="str">
        <x:v>AI extraction; professional review pending</x:v>
      </x:c>
      <x:c r="U8" s="20" t="n">
        <x:v>46314</x:v>
      </x:c>
      <x:c r="V8" s="8" t="str">
        <x:v>pending</x:v>
      </x:c>
      <x:c r="W8" s="21" t="b">
        <x:v>0</x:v>
      </x:c>
      <x:c r="X8" s="8" t="str">
        <x:v>{"scope_review_required":true,"entity":"hostel_boarding_bedroom","parameter":"floor_area_per_three_occupants","comparison":"&gt;=","threshold":0.9,"unit":"m2","condition_text":"Hostel/boarding only"}</x:v>
      </x:c>
      <x:c r="Y8" s="8" t="str">
        <x:v>Printed page 192. Source prints 0.9 with 2.5m minimum sides. Suspected source discrepancy. Never silently correct to 9.</x:v>
      </x:c>
    </x:row>
  </x:sheetData>
  <x:conditionalFormatting sqref="S2:S8">
    <x:cfRule type="containsText" dxfId="24" priority="1" operator="containsText" text="pending"/>
    <x:cfRule type="containsText" dxfId="25" priority="2" operator="containsText" text="conflict"/>
  </x:conditionalFormatting>
  <x:conditionalFormatting sqref="V2:V8">
    <x:cfRule type="containsText" dxfId="26" priority="3" operator="containsText" text="pending"/>
    <x:cfRule type="containsText" dxfId="27" priority="4" operator="containsText" text="conflict"/>
  </x:conditionalFormatting>
  <x:pageMargins left="0.7" right="0.7" top="0.75" bottom="0.75" header="0.3" footer="0.3"/>
  <x:tableParts count="1">
    <x:tablePart xmlns:r="http://schemas.openxmlformats.org/officeDocument/2006/relationships" r:id="R9a565af7bdf240f0"/>
  </x:tableParts>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62" hidden="0" customWidth="1"/>
  </x:cols>
  <x:sheetData>
    <x:row r="1" ht="44" customHeight="1">
      <x:c r="A1" s="7" t="str">
        <x:v>field</x:v>
      </x:c>
      <x:c r="B1" s="7" t="str">
        <x:v>data_type</x:v>
      </x:c>
      <x:c r="C1" s="7" t="str">
        <x:v>unit</x:v>
      </x:c>
      <x:c r="D1" s="7" t="str">
        <x:v>required</x:v>
      </x:c>
      <x:c r="E1" s="9" t="str">
        <x:v>value</x:v>
      </x:c>
      <x:c r="F1" s="7" t="str">
        <x:v>status</x:v>
      </x:c>
      <x:c r="G1" s="7" t="str">
        <x:v>notes</x:v>
      </x:c>
    </x:row>
    <x:row r="2" ht="42" customHeight="1">
      <x:c r="A2" s="8" t="str">
        <x:v>plot_boundary</x:v>
      </x:c>
      <x:c r="B2" s="8" t="str">
        <x:v>polygon</x:v>
      </x:c>
      <x:c r="C2" s="8" t="str">
        <x:v>m</x:v>
      </x:c>
      <x:c r="D2" s="21" t="b">
        <x:v>1</x:v>
      </x:c>
      <x:c r="E2" s="10"/>
      <x:c r="F2" s="8" t="str">
        <x:v>user_input_required</x:v>
      </x:c>
      <x:c r="G2" s="8" t="str">
        <x:v>Unknown must not silently default to zero.</x:v>
      </x:c>
    </x:row>
    <x:row r="3" ht="42" customHeight="1">
      <x:c r="A3" s="11" t="str">
        <x:v>plot_width</x:v>
      </x:c>
      <x:c r="B3" s="11" t="str">
        <x:v>number</x:v>
      </x:c>
      <x:c r="C3" s="11" t="str">
        <x:v>m</x:v>
      </x:c>
      <x:c r="D3" s="24" t="b">
        <x:v>0</x:v>
      </x:c>
      <x:c r="E3" s="12"/>
      <x:c r="F3" s="11" t="str">
        <x:v>user_input_required</x:v>
      </x:c>
      <x:c r="G3" s="11" t="str">
        <x:v>Plot rectangle fields optional if polygon supplied.</x:v>
      </x:c>
    </x:row>
    <x:row r="4" ht="42" customHeight="1">
      <x:c r="A4" s="8" t="str">
        <x:v>plot_length</x:v>
      </x:c>
      <x:c r="B4" s="8" t="str">
        <x:v>number</x:v>
      </x:c>
      <x:c r="C4" s="8" t="str">
        <x:v>m</x:v>
      </x:c>
      <x:c r="D4" s="21" t="b">
        <x:v>0</x:v>
      </x:c>
      <x:c r="E4" s="10"/>
      <x:c r="F4" s="8" t="str">
        <x:v>user_input_required</x:v>
      </x:c>
      <x:c r="G4" s="8" t="str">
        <x:v>Plot rectangle fields optional if polygon supplied.</x:v>
      </x:c>
    </x:row>
    <x:row r="5" ht="42" customHeight="1">
      <x:c r="A5" s="11" t="str">
        <x:v>north_angle</x:v>
      </x:c>
      <x:c r="B5" s="11" t="str">
        <x:v>number</x:v>
      </x:c>
      <x:c r="C5" s="11" t="str">
        <x:v>degree</x:v>
      </x:c>
      <x:c r="D5" s="24" t="b">
        <x:v>1</x:v>
      </x:c>
      <x:c r="E5" s="12"/>
      <x:c r="F5" s="11" t="str">
        <x:v>user_input_required</x:v>
      </x:c>
      <x:c r="G5" s="11" t="str">
        <x:v>Unknown must not silently default to zero.</x:v>
      </x:c>
    </x:row>
    <x:row r="6" ht="42" customHeight="1">
      <x:c r="A6" s="8" t="str">
        <x:v>latitude</x:v>
      </x:c>
      <x:c r="B6" s="8" t="str">
        <x:v>number</x:v>
      </x:c>
      <x:c r="C6" s="8" t="str">
        <x:v>degree</x:v>
      </x:c>
      <x:c r="D6" s="21" t="b">
        <x:v>1</x:v>
      </x:c>
      <x:c r="E6" s="10"/>
      <x:c r="F6" s="8" t="str">
        <x:v>user_input_required</x:v>
      </x:c>
      <x:c r="G6" s="8" t="str">
        <x:v>Unknown must not silently default to zero.</x:v>
      </x:c>
    </x:row>
    <x:row r="7" ht="42" customHeight="1">
      <x:c r="A7" s="11" t="str">
        <x:v>longitude</x:v>
      </x:c>
      <x:c r="B7" s="11" t="str">
        <x:v>number</x:v>
      </x:c>
      <x:c r="C7" s="11" t="str">
        <x:v>degree</x:v>
      </x:c>
      <x:c r="D7" s="24" t="b">
        <x:v>1</x:v>
      </x:c>
      <x:c r="E7" s="12"/>
      <x:c r="F7" s="11" t="str">
        <x:v>user_input_required</x:v>
      </x:c>
      <x:c r="G7" s="11" t="str">
        <x:v>Unknown must not silently default to zero.</x:v>
      </x:c>
    </x:row>
    <x:row r="8" ht="42" customHeight="1">
      <x:c r="A8" s="8" t="str">
        <x:v>local_authority</x:v>
      </x:c>
      <x:c r="B8" s="8" t="str">
        <x:v>string</x:v>
      </x:c>
      <x:c r="C8" s="8" t="str">
        <x:v>text</x:v>
      </x:c>
      <x:c r="D8" s="21" t="b">
        <x:v>1</x:v>
      </x:c>
      <x:c r="E8" s="10"/>
      <x:c r="F8" s="8" t="str">
        <x:v>user_input_required</x:v>
      </x:c>
      <x:c r="G8" s="8" t="str">
        <x:v>Unknown must not silently default to zero.</x:v>
      </x:c>
    </x:row>
    <x:row r="9" ht="42" customHeight="1">
      <x:c r="A9" s="11" t="str">
        <x:v>zone_id</x:v>
      </x:c>
      <x:c r="B9" s="11" t="str">
        <x:v>string</x:v>
      </x:c>
      <x:c r="C9" s="11" t="str">
        <x:v>text</x:v>
      </x:c>
      <x:c r="D9" s="24" t="b">
        <x:v>1</x:v>
      </x:c>
      <x:c r="E9" s="12"/>
      <x:c r="F9" s="11" t="str">
        <x:v>user_input_required</x:v>
      </x:c>
      <x:c r="G9" s="11" t="str">
        <x:v>Unknown must not silently default to zero.</x:v>
      </x:c>
    </x:row>
    <x:row r="10" ht="42" customHeight="1">
      <x:c r="A10" s="8" t="str">
        <x:v>street_line</x:v>
      </x:c>
      <x:c r="B10" s="8" t="str">
        <x:v>polyline</x:v>
      </x:c>
      <x:c r="C10" s="8" t="str">
        <x:v>m</x:v>
      </x:c>
      <x:c r="D10" s="21" t="b">
        <x:v>1</x:v>
      </x:c>
      <x:c r="E10" s="10"/>
      <x:c r="F10" s="8" t="str">
        <x:v>user_input_required</x:v>
      </x:c>
      <x:c r="G10" s="8" t="str">
        <x:v>Unknown must not silently default to zero.</x:v>
      </x:c>
    </x:row>
    <x:row r="11" ht="42" customHeight="1">
      <x:c r="A11" s="11" t="str">
        <x:v>building_line</x:v>
      </x:c>
      <x:c r="B11" s="11" t="str">
        <x:v>polyline</x:v>
      </x:c>
      <x:c r="C11" s="11" t="str">
        <x:v>m</x:v>
      </x:c>
      <x:c r="D11" s="24" t="b">
        <x:v>1</x:v>
      </x:c>
      <x:c r="E11" s="12"/>
      <x:c r="F11" s="11" t="str">
        <x:v>user_input_required</x:v>
      </x:c>
      <x:c r="G11" s="11" t="str">
        <x:v>Unknown must not silently default to zero.</x:v>
      </x:c>
    </x:row>
    <x:row r="12" ht="42" customHeight="1">
      <x:c r="A12" s="8" t="str">
        <x:v>road_width</x:v>
      </x:c>
      <x:c r="B12" s="8" t="str">
        <x:v>number</x:v>
      </x:c>
      <x:c r="C12" s="8" t="str">
        <x:v>m</x:v>
      </x:c>
      <x:c r="D12" s="21" t="b">
        <x:v>1</x:v>
      </x:c>
      <x:c r="E12" s="10"/>
      <x:c r="F12" s="8" t="str">
        <x:v>user_input_required</x:v>
      </x:c>
      <x:c r="G12" s="8" t="str">
        <x:v>Unknown must not silently default to zero.</x:v>
      </x:c>
    </x:row>
    <x:row r="13" ht="42" customHeight="1">
      <x:c r="A13" s="11" t="str">
        <x:v>road_side</x:v>
      </x:c>
      <x:c r="B13" s="11" t="str">
        <x:v>enum</x:v>
      </x:c>
      <x:c r="C13" s="11" t="str">
        <x:v>text</x:v>
      </x:c>
      <x:c r="D13" s="24" t="b">
        <x:v>1</x:v>
      </x:c>
      <x:c r="E13" s="12"/>
      <x:c r="F13" s="11" t="str">
        <x:v>user_input_required</x:v>
      </x:c>
      <x:c r="G13" s="11" t="str">
        <x:v>Unknown must not silently default to zero.</x:v>
      </x:c>
    </x:row>
    <x:row r="14" ht="42" customHeight="1">
      <x:c r="A14" s="8" t="str">
        <x:v>bedrooms</x:v>
      </x:c>
      <x:c r="B14" s="8" t="str">
        <x:v>integer</x:v>
      </x:c>
      <x:c r="C14" s="8" t="str">
        <x:v>count</x:v>
      </x:c>
      <x:c r="D14" s="21" t="b">
        <x:v>1</x:v>
      </x:c>
      <x:c r="E14" s="10"/>
      <x:c r="F14" s="8" t="str">
        <x:v>user_input_required</x:v>
      </x:c>
      <x:c r="G14" s="8" t="str">
        <x:v>Unknown must not silently default to zero.</x:v>
      </x:c>
    </x:row>
    <x:row r="15" ht="42" customHeight="1">
      <x:c r="A15" s="11" t="str">
        <x:v>bathrooms</x:v>
      </x:c>
      <x:c r="B15" s="11" t="str">
        <x:v>integer</x:v>
      </x:c>
      <x:c r="C15" s="11" t="str">
        <x:v>count</x:v>
      </x:c>
      <x:c r="D15" s="24" t="b">
        <x:v>1</x:v>
      </x:c>
      <x:c r="E15" s="12"/>
      <x:c r="F15" s="11" t="str">
        <x:v>user_input_required</x:v>
      </x:c>
      <x:c r="G15" s="11" t="str">
        <x:v>Unknown must not silently default to zero.</x:v>
      </x:c>
    </x:row>
    <x:row r="16" ht="42" customHeight="1">
      <x:c r="A16" s="8" t="str">
        <x:v>storeys</x:v>
      </x:c>
      <x:c r="B16" s="8" t="str">
        <x:v>integer</x:v>
      </x:c>
      <x:c r="C16" s="8" t="str">
        <x:v>count</x:v>
      </x:c>
      <x:c r="D16" s="21" t="b">
        <x:v>1</x:v>
      </x:c>
      <x:c r="E16" s="10"/>
      <x:c r="F16" s="8" t="str">
        <x:v>user_input_required</x:v>
      </x:c>
      <x:c r="G16" s="8" t="str">
        <x:v>Unknown must not silently default to zero.</x:v>
      </x:c>
    </x:row>
    <x:row r="17" ht="42" customHeight="1">
      <x:c r="A17" s="11" t="str">
        <x:v>parking_spaces</x:v>
      </x:c>
      <x:c r="B17" s="11" t="str">
        <x:v>integer</x:v>
      </x:c>
      <x:c r="C17" s="11" t="str">
        <x:v>count</x:v>
      </x:c>
      <x:c r="D17" s="24" t="b">
        <x:v>1</x:v>
      </x:c>
      <x:c r="E17" s="12"/>
      <x:c r="F17" s="11" t="str">
        <x:v>user_input_required</x:v>
      </x:c>
      <x:c r="G17" s="11" t="str">
        <x:v>Unknown must not silently default to zero.</x:v>
      </x:c>
    </x:row>
    <x:row r="18" ht="42" customHeight="1">
      <x:c r="A18" s="8" t="str">
        <x:v>budget</x:v>
      </x:c>
      <x:c r="B18" s="8" t="str">
        <x:v>number</x:v>
      </x:c>
      <x:c r="C18" s="8" t="str">
        <x:v>LKR</x:v>
      </x:c>
      <x:c r="D18" s="21" t="b">
        <x:v>0</x:v>
      </x:c>
      <x:c r="E18" s="10"/>
      <x:c r="F18" s="8" t="str">
        <x:v>user_input_required</x:v>
      </x:c>
      <x:c r="G18" s="8" t="str">
        <x:v>Unknown must not silently default to zero.</x:v>
      </x:c>
    </x:row>
    <x:row r="19" ht="42" customHeight="1">
      <x:c r="A19" s="11" t="str">
        <x:v>preferences</x:v>
      </x:c>
      <x:c r="B19" s="11" t="str">
        <x:v>array</x:v>
      </x:c>
      <x:c r="C19" s="11" t="str">
        <x:v>text</x:v>
      </x:c>
      <x:c r="D19" s="24" t="b">
        <x:v>0</x:v>
      </x:c>
      <x:c r="E19" s="12"/>
      <x:c r="F19" s="11" t="str">
        <x:v>user_input_required</x:v>
      </x:c>
      <x:c r="G19" s="11" t="str">
        <x:v>Unknown must not silently default to zero.</x:v>
      </x:c>
    </x:row>
    <x:row r="20" ht="42" customHeight="1">
      <x:c r="A20" s="8" t="str">
        <x:v>wall_specification</x:v>
      </x:c>
      <x:c r="B20" s="8" t="str">
        <x:v>object</x:v>
      </x:c>
      <x:c r="C20" s="8" t="str">
        <x:v>mixed</x:v>
      </x:c>
      <x:c r="D20" s="21" t="b">
        <x:v>1</x:v>
      </x:c>
      <x:c r="E20" s="10"/>
      <x:c r="F20" s="8" t="str">
        <x:v>user_input_required</x:v>
      </x:c>
      <x:c r="G20" s="8" t="str">
        <x:v>Unknown must not silently default to zero.</x:v>
      </x:c>
    </x:row>
    <x:row r="21" ht="42" customHeight="1">
      <x:c r="A21" s="11" t="str">
        <x:v>roof_specification</x:v>
      </x:c>
      <x:c r="B21" s="11" t="str">
        <x:v>object</x:v>
      </x:c>
      <x:c r="C21" s="11" t="str">
        <x:v>mixed</x:v>
      </x:c>
      <x:c r="D21" s="24" t="b">
        <x:v>1</x:v>
      </x:c>
      <x:c r="E21" s="12"/>
      <x:c r="F21" s="11" t="str">
        <x:v>user_input_required</x:v>
      </x:c>
      <x:c r="G21" s="11" t="str">
        <x:v>Unknown must not silently default to zero.</x:v>
      </x:c>
    </x:row>
  </x:sheetData>
  <x:conditionalFormatting sqref="F2:F21">
    <x:cfRule type="containsText" dxfId="28" priority="1" operator="containsText" text="pending"/>
    <x:cfRule type="containsText" dxfId="29" priority="2" operator="containsText" text="conflict"/>
  </x:conditionalFormatting>
  <x:pageMargins left="0.7" right="0.7" top="0.75" bottom="0.75" header="0.3" footer="0.3"/>
  <x:tableParts count="1">
    <x:tablePart xmlns:r="http://schemas.openxmlformats.org/officeDocument/2006/relationships" r:id="R27cbbae0d631417c"/>
  </x:tableParts>
</x:worksheet>
</file>

<file path=xl/worksheets/sheet1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32" hidden="0" customWidth="1"/>
    <x:col min="4" max="4" width="22" hidden="0" customWidth="1"/>
    <x:col min="5" max="5" width="62" hidden="0" customWidth="1"/>
    <x:col min="6" max="6" width="22" hidden="0" customWidth="1"/>
    <x:col min="7" max="7" width="22" hidden="0" customWidth="1"/>
  </x:cols>
  <x:sheetData>
    <x:row r="1" ht="44" customHeight="1">
      <x:c r="A1" s="7" t="str">
        <x:v>gap_id</x:v>
      </x:c>
      <x:c r="B1" s="7" t="str">
        <x:v>collection</x:v>
      </x:c>
      <x:c r="C1" s="7" t="str">
        <x:v>missing_item</x:v>
      </x:c>
      <x:c r="D1" s="7" t="str">
        <x:v>status</x:v>
      </x:c>
      <x:c r="E1" s="7" t="str">
        <x:v>required_action</x:v>
      </x:c>
      <x:c r="F1" s="7" t="str">
        <x:v>priority</x:v>
      </x:c>
      <x:c r="G1" s="7" t="str">
        <x:v>enable_in_production</x:v>
      </x:c>
    </x:row>
    <x:row r="2" ht="56" customHeight="1">
      <x:c r="A2" s="8" t="str">
        <x:v>GAP_001</x:v>
      </x:c>
      <x:c r="B2" s="8" t="str">
        <x:v>legal</x:v>
      </x:c>
      <x:c r="C2" s="8" t="str">
        <x:v>Current applicability and amendments</x:v>
      </x:c>
      <x:c r="D2" s="8" t="str">
        <x:v>missing_or_review_pending</x:v>
      </x:c>
      <x:c r="E2" s="8" t="str">
        <x:v>Confirm Gazette 2235/54 amendments, UDA declared-area status, site zone, applicable local plan and effective dates with authority.</x:v>
      </x:c>
      <x:c r="F2" s="8" t="str">
        <x:v>high</x:v>
      </x:c>
      <x:c r="G2" s="21" t="b">
        <x:v>0</x:v>
      </x:c>
    </x:row>
    <x:row r="3" ht="42" customHeight="1">
      <x:c r="A3" s="11" t="str">
        <x:v>GAP_002</x:v>
      </x:c>
      <x:c r="B3" s="11" t="str">
        <x:v>room_dimensions</x:v>
      </x:c>
      <x:c r="C3" s="11" t="str">
        <x:v>First room designation / measurement basis</x:v>
      </x:c>
      <x:c r="D3" s="11" t="str">
        <x:v>missing_or_review_pending</x:v>
      </x:c>
      <x:c r="E3" s="11" t="str">
        <x:v>Confirm first-room assignment and how floor area/width measured. Do not substitute bedroom labels.</x:v>
      </x:c>
      <x:c r="F3" s="11" t="str">
        <x:v>high</x:v>
      </x:c>
      <x:c r="G3" s="24" t="b">
        <x:v>0</x:v>
      </x:c>
    </x:row>
    <x:row r="4" ht="56" customHeight="1">
      <x:c r="A4" s="8" t="str">
        <x:v>GAP_003</x:v>
      </x:c>
      <x:c r="B4" s="8" t="str">
        <x:v>climate</x:v>
      </x:c>
      <x:c r="C4" s="8" t="str">
        <x:v>Location-specific climate records</x:v>
      </x:c>
      <x:c r="D4" s="8" t="str">
        <x:v>missing_or_review_pending</x:v>
      </x:c>
      <x:c r="E4" s="8" t="str">
        <x:v>Collect licensed temperature, rainfall, wind direction/speed, solar data with station/location, dates, units and resolution.</x:v>
      </x:c>
      <x:c r="F4" s="8" t="str">
        <x:v>high</x:v>
      </x:c>
      <x:c r="G4" s="21" t="b">
        <x:v>0</x:v>
      </x:c>
    </x:row>
    <x:row r="5" ht="56" customHeight="1">
      <x:c r="A5" s="11" t="str">
        <x:v>GAP_004</x:v>
      </x:c>
      <x:c r="B5" s="11" t="str">
        <x:v>climate</x:v>
      </x:c>
      <x:c r="C5" s="11" t="str">
        <x:v>Climate-to-design rules</x:v>
      </x:c>
      <x:c r="D5" s="11" t="str">
        <x:v>missing_or_review_pending</x:v>
      </x:c>
      <x:c r="E5" s="11" t="str">
        <x:v>Architect-reviewed shading, cross-ventilation and orientation rules with conditions. Do not infer universal north-window rule.</x:v>
      </x:c>
      <x:c r="F5" s="11" t="str">
        <x:v>high</x:v>
      </x:c>
      <x:c r="G5" s="24" t="b">
        <x:v>0</x:v>
      </x:c>
    </x:row>
    <x:row r="6" ht="56" customHeight="1">
      <x:c r="A6" s="8" t="str">
        <x:v>GAP_005</x:v>
      </x:c>
      <x:c r="B6" s="8" t="str">
        <x:v>adjacency</x:v>
      </x:c>
      <x:c r="C6" s="8" t="str">
        <x:v>Room adjacency matrix</x:v>
      </x:c>
      <x:c r="D6" s="8" t="str">
        <x:v>missing_or_review_pending</x:v>
      </x:c>
      <x:c r="E6" s="8" t="str">
        <x:v>Collect reviewed adjacent/avoid/must_access/separate rules; distinguish regulations from preferences.</x:v>
      </x:c>
      <x:c r="F6" s="8" t="str">
        <x:v>high</x:v>
      </x:c>
      <x:c r="G6" s="21" t="b">
        <x:v>0</x:v>
      </x:c>
    </x:row>
    <x:row r="7" ht="56" customHeight="1">
      <x:c r="A7" s="11" t="str">
        <x:v>GAP_006</x:v>
      </x:c>
      <x:c r="B7" s="11" t="str">
        <x:v>components</x:v>
      </x:c>
      <x:c r="C7" s="11" t="str">
        <x:v>Door/window catalogues</x:v>
      </x:c>
      <x:c r="D7" s="11" t="str">
        <x:v>missing_or_review_pending</x:v>
      </x:c>
      <x:c r="E7" s="11" t="str">
        <x:v>Collect width, height, thickness, swing, wall offsets, opening area and actual openable area with catalogue/model IDs.</x:v>
      </x:c>
      <x:c r="F7" s="11" t="str">
        <x:v>high</x:v>
      </x:c>
      <x:c r="G7" s="24" t="b">
        <x:v>0</x:v>
      </x:c>
    </x:row>
    <x:row r="8" ht="42" customHeight="1">
      <x:c r="A8" s="8" t="str">
        <x:v>GAP_007</x:v>
      </x:c>
      <x:c r="B8" s="8" t="str">
        <x:v>furniture</x:v>
      </x:c>
      <x:c r="C8" s="8" t="str">
        <x:v>Furniture footprints and clearances</x:v>
      </x:c>
      <x:c r="D8" s="8" t="str">
        <x:v>missing_or_review_pending</x:v>
      </x:c>
      <x:c r="E8" s="8" t="str">
        <x:v>Collect dimensions and approach/use clearances from catalogues/architect review.</x:v>
      </x:c>
      <x:c r="F8" s="8" t="str">
        <x:v>high</x:v>
      </x:c>
      <x:c r="G8" s="21" t="b">
        <x:v>0</x:v>
      </x:c>
    </x:row>
    <x:row r="9" ht="56" customHeight="1">
      <x:c r="A9" s="11" t="str">
        <x:v>GAP_008</x:v>
      </x:c>
      <x:c r="B9" s="11" t="str">
        <x:v>templates</x:v>
      </x:c>
      <x:c r="C9" s="11" t="str">
        <x:v>Structured licensed floor plans</x:v>
      </x:c>
      <x:c r="D9" s="11" t="str">
        <x:v>missing_or_review_pending</x:v>
      </x:c>
      <x:c r="E9" s="11" t="str">
        <x:v>Collect plot, rooms, walls, doors, windows, orientation, storeys and style with permission and reviewer.</x:v>
      </x:c>
      <x:c r="F9" s="11" t="str">
        <x:v>high</x:v>
      </x:c>
      <x:c r="G9" s="24" t="b">
        <x:v>0</x:v>
      </x:c>
    </x:row>
    <x:row r="10" ht="70" customHeight="1">
      <x:c r="A10" s="8" t="str">
        <x:v>GAP_009</x:v>
      </x:c>
      <x:c r="B10" s="8" t="str">
        <x:v>cost</x:v>
      </x:c>
      <x:c r="C10" s="8" t="str">
        <x:v>BSR/SoR building item rates</x:v>
      </x:c>
      <x:c r="D10" s="8" t="str">
        <x:v>missing_or_review_pending</x:v>
      </x:c>
      <x:c r="E10" s="8" t="str">
        <x:v>Earlier rate PDFs are not in current local attachment set. Extract code, complete specification, unit, rate, district/year, inclusions and tax basis from actual source.</x:v>
      </x:c>
      <x:c r="F10" s="8" t="str">
        <x:v>high</x:v>
      </x:c>
      <x:c r="G10" s="21" t="b">
        <x:v>0</x:v>
      </x:c>
    </x:row>
    <x:row r="11" ht="56" customHeight="1">
      <x:c r="A11" s="11" t="str">
        <x:v>GAP_010</x:v>
      </x:c>
      <x:c r="B11" s="11" t="str">
        <x:v>boq</x:v>
      </x:c>
      <x:c r="C11" s="11" t="str">
        <x:v>Measurement standard and quantities</x:v>
      </x:c>
      <x:c r="D11" s="11" t="str">
        <x:v>missing_or_review_pending</x:v>
      </x:c>
      <x:c r="E11" s="11" t="str">
        <x:v>Verify referenced SLS 573:1999 scope/edition and QS-approved deductions, shared walls, wastage and specification rules.</x:v>
      </x:c>
      <x:c r="F11" s="11" t="str">
        <x:v>high</x:v>
      </x:c>
      <x:c r="G11" s="24" t="b">
        <x:v>0</x:v>
      </x:c>
    </x:row>
    <x:row r="12" ht="56" customHeight="1">
      <x:c r="A12" s="8" t="str">
        <x:v>GAP_011</x:v>
      </x:c>
      <x:c r="B12" s="8" t="str">
        <x:v>planning</x:v>
      </x:c>
      <x:c r="C12" s="8" t="str">
        <x:v>Local plans scanned/Sinhala/Tamil</x:v>
      </x:c>
      <x:c r="D12" s="8" t="str">
        <x:v>missing_or_review_pending</x:v>
      </x:c>
      <x:c r="E12" s="8" t="str">
        <x:v>Visually/OCR review candidates and all relevant local zoning tables. Keyword scan is not full rule extraction.</x:v>
      </x:c>
      <x:c r="F12" s="8" t="str">
        <x:v>high</x:v>
      </x:c>
      <x:c r="G12" s="21" t="b">
        <x:v>0</x:v>
      </x:c>
    </x:row>
    <x:row r="13" ht="56" customHeight="1">
      <x:c r="A13" s="11" t="str">
        <x:v>GAP_012</x:v>
      </x:c>
      <x:c r="B13" s="11" t="str">
        <x:v>parking</x:v>
      </x:c>
      <x:c r="C13" s="11" t="str">
        <x:v>Schedule 11 stall/aisle turning dimensions</x:v>
      </x:c>
      <x:c r="D13" s="11" t="str">
        <x:v>missing_or_review_pending</x:v>
      </x:c>
      <x:c r="E13" s="11" t="str">
        <x:v>Visually extract all applicable Schedule 11 forms and relate parking angle/vehicle class/aisle layout.</x:v>
      </x:c>
      <x:c r="F13" s="11" t="str">
        <x:v>high</x:v>
      </x:c>
      <x:c r="G13" s="24" t="b">
        <x:v>0</x:v>
      </x:c>
    </x:row>
    <x:row r="14" ht="42" customHeight="1">
      <x:c r="A14" s="8" t="str">
        <x:v>GAP_013</x:v>
      </x:c>
      <x:c r="B14" s="8" t="str">
        <x:v>circulation</x:v>
      </x:c>
      <x:c r="C14" s="8" t="str">
        <x:v>Corridor/door accessible clear widths</x:v>
      </x:c>
      <x:c r="D14" s="8" t="str">
        <x:v>missing_or_review_pending</x:v>
      </x:c>
      <x:c r="E14" s="8" t="str">
        <x:v>Collect applicable accessibility/fire standards and verify scope. Do not invent corridor minimum.</x:v>
      </x:c>
      <x:c r="F14" s="8" t="str">
        <x:v>high</x:v>
      </x:c>
      <x:c r="G14" s="21" t="b">
        <x:v>0</x:v>
      </x:c>
    </x:row>
    <x:row r="15" ht="56" customHeight="1">
      <x:c r="A15" s="11" t="str">
        <x:v>GAP_014</x:v>
      </x:c>
      <x:c r="B15" s="11" t="str">
        <x:v>structure</x:v>
      </x:c>
      <x:c r="C15" s="11" t="str">
        <x:v>Wall/slab/roof specification</x:v>
      </x:c>
      <x:c r="D15" s="11" t="str">
        <x:v>missing_or_review_pending</x:v>
      </x:c>
      <x:c r="E15" s="11" t="str">
        <x:v>Obtain engineer-reviewed structural/material assumptions. Room geometry alone cannot produce structural design.</x:v>
      </x:c>
      <x:c r="F15" s="11" t="str">
        <x:v>high</x:v>
      </x:c>
      <x:c r="G15" s="24" t="b">
        <x:v>0</x:v>
      </x:c>
    </x:row>
    <x:row r="16" ht="42" customHeight="1">
      <x:c r="A16" s="8" t="str">
        <x:v>GAP_015</x:v>
      </x:c>
      <x:c r="B16" s="8" t="str">
        <x:v>testing</x:v>
      </x:c>
      <x:c r="C16" s="8" t="str">
        <x:v>Architect-reviewed real plans</x:v>
      </x:c>
      <x:c r="D16" s="8" t="str">
        <x:v>missing_or_review_pending</x:v>
      </x:c>
      <x:c r="E16" s="8" t="str">
        <x:v>Add held-out real valid/invalid cases; synthetic examples are validator tests, not training labels.</x:v>
      </x:c>
      <x:c r="F16" s="8" t="str">
        <x:v>high</x:v>
      </x:c>
      <x:c r="G16" s="21" t="b">
        <x:v>0</x:v>
      </x:c>
    </x:row>
    <x:row r="17" ht="56" customHeight="1">
      <x:c r="A17" s="11" t="str">
        <x:v>GAP_016</x:v>
      </x:c>
      <x:c r="B17" s="11" t="str">
        <x:v>solver</x:v>
      </x:c>
      <x:c r="C17" s="11" t="str">
        <x:v>Feasibility and timeout status</x:v>
      </x:c>
      <x:c r="D17" s="11" t="str">
        <x:v>missing_or_review_pending</x:v>
      </x:c>
      <x:c r="E17" s="11" t="str">
        <x:v>Separate feasible, infeasible_proven, search_timeout and no_solution_found. Search failure does not prove impossibility.</x:v>
      </x:c>
      <x:c r="F17" s="11" t="str">
        <x:v>high</x:v>
      </x:c>
      <x:c r="G17" s="24" t="b">
        <x:v>0</x:v>
      </x:c>
    </x:row>
  </x:sheetData>
  <x:conditionalFormatting sqref="D2:D17">
    <x:cfRule type="containsText" dxfId="30" priority="1" operator="containsText" text="pending"/>
    <x:cfRule type="containsText" dxfId="31" priority="2" operator="containsText" text="conflict"/>
  </x:conditionalFormatting>
  <x:pageMargins left="0.7" right="0.7" top="0.75" bottom="0.75" header="0.3" footer="0.3"/>
  <x:tableParts count="1">
    <x:tablePart xmlns:r="http://schemas.openxmlformats.org/officeDocument/2006/relationships" r:id="R22957343758a400d"/>
  </x:tableParts>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62" hidden="0" customWidth="1"/>
    <x:col min="3" max="3" width="22" hidden="0" customWidth="1"/>
  </x:cols>
  <x:sheetData>
    <x:row r="1" ht="44" customHeight="1">
      <x:c r="A1" s="7" t="str">
        <x:v>collection</x:v>
      </x:c>
      <x:c r="B1" s="7" t="str">
        <x:v>required_columns</x:v>
      </x:c>
      <x:c r="C1" s="7" t="str">
        <x:v>status</x:v>
      </x:c>
    </x:row>
    <x:row r="2" ht="70" customHeight="1">
      <x:c r="A2" s="8" t="str">
        <x:v>climate_rules</x:v>
      </x:c>
      <x:c r="B2" s="8" t="str">
        <x:v>rule_id,climate_zone,parameter,condition_json,value,unit,source_id,source_page,rule_type,verification_status,reviewer</x:v>
      </x:c>
      <x:c r="C2" s="8" t="str">
        <x:v>Missing reviewed climate evidence and derived design rules</x:v>
      </x:c>
    </x:row>
    <x:row r="3" ht="70" customHeight="1">
      <x:c r="A3" s="11" t="str">
        <x:v>adjacency_rules</x:v>
      </x:c>
      <x:c r="B3" s="11" t="str">
        <x:v>rule_id,room_a,room_b,relation,severity,weight,rationale,rule_type,source_id,reviewer,verification_status</x:v>
      </x:c>
      <x:c r="C3" s="11" t="str">
        <x:v>Missing reviewed adjacency matrix; no invented weights</x:v>
      </x:c>
    </x:row>
    <x:row r="4" ht="56" customHeight="1">
      <x:c r="A4" s="8" t="str">
        <x:v>components</x:v>
      </x:c>
      <x:c r="B4" s="8" t="str">
        <x:v>component_id,component_type,model,width_mm,height_mm,thickness_mm,swing,openable_area_m2,min_clearance_mm,source_id,status</x:v>
      </x:c>
      <x:c r="C4" s="8" t="str">
        <x:v>Missing door/window catalogues</x:v>
      </x:c>
    </x:row>
    <x:row r="5" ht="56" customHeight="1">
      <x:c r="A5" s="11" t="str">
        <x:v>furniture</x:v>
      </x:c>
      <x:c r="B5" s="11" t="str">
        <x:v>furniture_id,type,width_mm,length_mm,height_mm,use_clearance_mm,source_id,status</x:v>
      </x:c>
      <x:c r="C5" s="11" t="str">
        <x:v>Missing reviewed footprints and use clearances</x:v>
      </x:c>
    </x:row>
    <x:row r="6" ht="84" customHeight="1">
      <x:c r="A6" s="8" t="str">
        <x:v>rates</x:v>
      </x:c>
      <x:c r="B6" s="8" t="str">
        <x:v>rate_id,item_code,full_description,unit,rate,currency,district,price_date,edition,tax_basis,inclusions,source_id,page,status</x:v>
      </x:c>
      <x:c r="C6" s="8" t="str">
        <x:v>Rates not populated; earlier BSR/SoR PDFs not present in this attachment set</x:v>
      </x:c>
    </x:row>
    <x:row r="7" ht="56" customHeight="1">
      <x:c r="A7" s="11" t="str">
        <x:v>boq_measurement</x:v>
      </x:c>
      <x:c r="B7" s="11" t="str">
        <x:v>measurement_id,work_item,measurement_basis,formula_text,deductions,shared_wall_policy,wastage_policy,unit,standard_edition,source_id,reviewer,status</x:v>
      </x:c>
      <x:c r="C7" s="11" t="str">
        <x:v>QS review and standard access pending</x:v>
      </x:c>
    </x:row>
    <x:row r="8" ht="56" customHeight="1">
      <x:c r="A8" s="8" t="str">
        <x:v>templates</x:v>
      </x:c>
      <x:c r="B8" s="8" t="str">
        <x:v>template_id,plot_boundary_json,bedrooms,storeys,plan_json,style,licence,source_id,reviewer,status</x:v>
      </x:c>
      <x:c r="C8" s="8" t="str">
        <x:v>No approved/licensed structured plans supplied</x:v>
      </x:c>
    </x:row>
    <x:row r="9" ht="70" customHeight="1">
      <x:c r="A9" s="11" t="str">
        <x:v>plan_json</x:v>
      </x:c>
      <x:c r="B9" s="11" t="str">
        <x:v>unit,origin,north_angle,land_boundary,walls,rooms,doors,windows,levels,roof,materials</x:v>
      </x:c>
      <x:c r="C9" s="11" t="str">
        <x:v>Schema design needed; stable IDs and shared 2D/3D geometry</x:v>
      </x:c>
    </x:row>
  </x:sheetData>
  <x:conditionalFormatting sqref="C2:C9">
    <x:cfRule type="containsText" dxfId="32" priority="1" operator="containsText" text="pending"/>
    <x:cfRule type="containsText" dxfId="33" priority="2" operator="containsText" text="conflict"/>
  </x:conditionalFormatting>
  <x:pageMargins left="0.7" right="0.7" top="0.75" bottom="0.75" header="0.3" footer="0.3"/>
  <x:tableParts count="1">
    <x:tablePart xmlns:r="http://schemas.openxmlformats.org/officeDocument/2006/relationships" r:id="Reb7d403453024c92"/>
  </x:tableParts>
</x:worksheet>
</file>

<file path=xl/worksheets/sheet1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3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62" hidden="0" customWidth="1"/>
  </x:cols>
  <x:sheetData>
    <x:row r="1" ht="44" customHeight="1">
      <x:c r="A1" s="7" t="str">
        <x:v>case_id</x:v>
      </x:c>
      <x:c r="B1" s="7" t="str">
        <x:v>case</x:v>
      </x:c>
      <x:c r="C1" s="7" t="str">
        <x:v>entity</x:v>
      </x:c>
      <x:c r="D1" s="9" t="str">
        <x:v>area_m2</x:v>
      </x:c>
      <x:c r="E1" s="9" t="str">
        <x:v>width_m</x:v>
      </x:c>
      <x:c r="F1" s="7" t="str">
        <x:v>expected</x:v>
      </x:c>
      <x:c r="G1" s="7" t="str">
        <x:v>reason</x:v>
      </x:c>
      <x:c r="H1" s="7" t="str">
        <x:v>test_type</x:v>
      </x:c>
      <x:c r="I1" s="7" t="str">
        <x:v>source</x:v>
      </x:c>
      <x:c r="J1" s="7" t="str">
        <x:v>status</x:v>
      </x:c>
      <x:c r="K1" s="7" t="str">
        <x:v>notes</x:v>
      </x:c>
    </x:row>
    <x:row r="2" ht="42" customHeight="1">
      <x:c r="A2" s="8" t="str">
        <x:v>TEST_001</x:v>
      </x:c>
      <x:c r="B2" s="8" t="str">
        <x:v>kitchen_at_limits</x:v>
      </x:c>
      <x:c r="C2" s="8" t="str">
        <x:v>kitchen</x:v>
      </x:c>
      <x:c r="D2" s="10" t="n">
        <x:v>5.5</x:v>
      </x:c>
      <x:c r="E2" s="10" t="n">
        <x:v>1.8</x:v>
      </x:c>
      <x:c r="F2" s="8" t="str">
        <x:v>pass</x:v>
      </x:c>
      <x:c r="G2" s="8" t="str">
        <x:v>both at thresholds</x:v>
      </x:c>
      <x:c r="H2" s="8" t="str">
        <x:v>synthetic_scalar_rule_test</x:v>
      </x:c>
      <x:c r="I2" s="8" t="str">
        <x:v>Gazette Schedule 7</x:v>
      </x:c>
      <x:c r="J2" s="8" t="str">
        <x:v>expected_result_defined</x:v>
      </x:c>
      <x:c r="K2" s="8" t="str">
        <x:v>Tests source thresholds only; legal applicability intentionally outside this test.</x:v>
      </x:c>
    </x:row>
    <x:row r="3" ht="42" customHeight="1">
      <x:c r="A3" s="11" t="str">
        <x:v>TEST_002</x:v>
      </x:c>
      <x:c r="B3" s="11" t="str">
        <x:v>kitchen_area_fail</x:v>
      </x:c>
      <x:c r="C3" s="11" t="str">
        <x:v>kitchen</x:v>
      </x:c>
      <x:c r="D3" s="12" t="n">
        <x:v>5.49</x:v>
      </x:c>
      <x:c r="E3" s="12" t="n">
        <x:v>1.8</x:v>
      </x:c>
      <x:c r="F3" s="11" t="str">
        <x:v>fail</x:v>
      </x:c>
      <x:c r="G3" s="11" t="str">
        <x:v>area below</x:v>
      </x:c>
      <x:c r="H3" s="11" t="str">
        <x:v>synthetic_scalar_rule_test</x:v>
      </x:c>
      <x:c r="I3" s="11" t="str">
        <x:v>Gazette Schedule 7</x:v>
      </x:c>
      <x:c r="J3" s="11" t="str">
        <x:v>expected_result_defined</x:v>
      </x:c>
      <x:c r="K3" s="11" t="str">
        <x:v>Tests source thresholds only; legal applicability intentionally outside this test.</x:v>
      </x:c>
    </x:row>
    <x:row r="4" ht="42" customHeight="1">
      <x:c r="A4" s="8" t="str">
        <x:v>TEST_003</x:v>
      </x:c>
      <x:c r="B4" s="8" t="str">
        <x:v>kitchen_width_fail</x:v>
      </x:c>
      <x:c r="C4" s="8" t="str">
        <x:v>kitchen</x:v>
      </x:c>
      <x:c r="D4" s="10" t="n">
        <x:v>5.5</x:v>
      </x:c>
      <x:c r="E4" s="10" t="n">
        <x:v>1.79</x:v>
      </x:c>
      <x:c r="F4" s="8" t="str">
        <x:v>fail</x:v>
      </x:c>
      <x:c r="G4" s="8" t="str">
        <x:v>width below</x:v>
      </x:c>
      <x:c r="H4" s="8" t="str">
        <x:v>synthetic_scalar_rule_test</x:v>
      </x:c>
      <x:c r="I4" s="8" t="str">
        <x:v>Gazette Schedule 7</x:v>
      </x:c>
      <x:c r="J4" s="8" t="str">
        <x:v>expected_result_defined</x:v>
      </x:c>
      <x:c r="K4" s="8" t="str">
        <x:v>Tests source thresholds only; legal applicability intentionally outside this test.</x:v>
      </x:c>
    </x:row>
    <x:row r="5" ht="42" customHeight="1">
      <x:c r="A5" s="11" t="str">
        <x:v>TEST_004</x:v>
      </x:c>
      <x:c r="B5" s="11" t="str">
        <x:v>bath_at_limits</x:v>
      </x:c>
      <x:c r="C5" s="11" t="str">
        <x:v>bathroom</x:v>
      </x:c>
      <x:c r="D5" s="12" t="n">
        <x:v>1.7</x:v>
      </x:c>
      <x:c r="E5" s="12" t="n">
        <x:v>1</x:v>
      </x:c>
      <x:c r="F5" s="11" t="str">
        <x:v>pass</x:v>
      </x:c>
      <x:c r="G5" s="11" t="str">
        <x:v>both at thresholds</x:v>
      </x:c>
      <x:c r="H5" s="11" t="str">
        <x:v>synthetic_scalar_rule_test</x:v>
      </x:c>
      <x:c r="I5" s="11" t="str">
        <x:v>Gazette Schedule 7</x:v>
      </x:c>
      <x:c r="J5" s="11" t="str">
        <x:v>expected_result_defined</x:v>
      </x:c>
      <x:c r="K5" s="11" t="str">
        <x:v>Tests source thresholds only; legal applicability intentionally outside this test.</x:v>
      </x:c>
    </x:row>
    <x:row r="6" ht="42" customHeight="1">
      <x:c r="A6" s="8" t="str">
        <x:v>TEST_005</x:v>
      </x:c>
      <x:c r="B6" s="8" t="str">
        <x:v>combined_width_fail</x:v>
      </x:c>
      <x:c r="C6" s="8" t="str">
        <x:v>combined_bath_toilet</x:v>
      </x:c>
      <x:c r="D6" s="10" t="n">
        <x:v>2</x:v>
      </x:c>
      <x:c r="E6" s="10" t="n">
        <x:v>1.49</x:v>
      </x:c>
      <x:c r="F6" s="8" t="str">
        <x:v>fail</x:v>
      </x:c>
      <x:c r="G6" s="8" t="str">
        <x:v>width below</x:v>
      </x:c>
      <x:c r="H6" s="8" t="str">
        <x:v>synthetic_scalar_rule_test</x:v>
      </x:c>
      <x:c r="I6" s="8" t="str">
        <x:v>Gazette Schedule 7</x:v>
      </x:c>
      <x:c r="J6" s="8" t="str">
        <x:v>expected_result_defined</x:v>
      </x:c>
      <x:c r="K6" s="8" t="str">
        <x:v>Tests source thresholds only; legal applicability intentionally outside this test.</x:v>
      </x:c>
    </x:row>
    <x:row r="7" ht="42" customHeight="1">
      <x:c r="A7" s="11" t="str">
        <x:v>TEST_006</x:v>
      </x:c>
      <x:c r="B7" s="11" t="str">
        <x:v>additional_area_fail</x:v>
      </x:c>
      <x:c r="C7" s="11" t="str">
        <x:v>additional_room_multiroom_dwelling</x:v>
      </x:c>
      <x:c r="D7" s="12" t="n">
        <x:v>8.49</x:v>
      </x:c>
      <x:c r="E7" s="12" t="n">
        <x:v>2.5</x:v>
      </x:c>
      <x:c r="F7" s="11" t="str">
        <x:v>fail</x:v>
      </x:c>
      <x:c r="G7" s="11" t="str">
        <x:v>area below</x:v>
      </x:c>
      <x:c r="H7" s="11" t="str">
        <x:v>synthetic_scalar_rule_test</x:v>
      </x:c>
      <x:c r="I7" s="11" t="str">
        <x:v>Gazette Schedule 7</x:v>
      </x:c>
      <x:c r="J7" s="11" t="str">
        <x:v>expected_result_defined</x:v>
      </x:c>
      <x:c r="K7" s="11" t="str">
        <x:v>Tests source thresholds only; legal applicability intentionally outside this test.</x:v>
      </x:c>
    </x:row>
    <x:row r="8" ht="42" customHeight="1">
      <x:c r="A8" s="8" t="str">
        <x:v>TEST_007</x:v>
      </x:c>
      <x:c r="B8" s="8" t="str">
        <x:v>single_dwelling_width_fail</x:v>
      </x:c>
      <x:c r="C8" s="8" t="str">
        <x:v>single_room_dwelling</x:v>
      </x:c>
      <x:c r="D8" s="10" t="n">
        <x:v>11</x:v>
      </x:c>
      <x:c r="E8" s="10" t="n">
        <x:v>2.99</x:v>
      </x:c>
      <x:c r="F8" s="8" t="str">
        <x:v>fail</x:v>
      </x:c>
      <x:c r="G8" s="8" t="str">
        <x:v>width below</x:v>
      </x:c>
      <x:c r="H8" s="8" t="str">
        <x:v>synthetic_scalar_rule_test</x:v>
      </x:c>
      <x:c r="I8" s="8" t="str">
        <x:v>Gazette Schedule 7</x:v>
      </x:c>
      <x:c r="J8" s="8" t="str">
        <x:v>expected_result_defined</x:v>
      </x:c>
      <x:c r="K8" s="8" t="str">
        <x:v>Tests source thresholds only; legal applicability intentionally outside this test.</x:v>
      </x:c>
    </x:row>
    <x:row r="9" ht="42" customHeight="1">
      <x:c r="A9" s="11" t="str">
        <x:v>TEST_008</x:v>
      </x:c>
      <x:c r="B9" s="11" t="str">
        <x:v>unknown_category</x:v>
      </x:c>
      <x:c r="C9" s="11" t="str">
        <x:v>unmapped_room</x:v>
      </x:c>
      <x:c r="D9" s="12" t="n">
        <x:v>10</x:v>
      </x:c>
      <x:c r="E9" s="12" t="n">
        <x:v>3</x:v>
      </x:c>
      <x:c r="F9" s="11" t="str">
        <x:v>not_evaluated</x:v>
      </x:c>
      <x:c r="G9" s="11" t="str">
        <x:v>no category mapping</x:v>
      </x:c>
      <x:c r="H9" s="11" t="str">
        <x:v>synthetic_scalar_rule_test</x:v>
      </x:c>
      <x:c r="I9" s="11" t="str">
        <x:v>Gazette Schedule 7</x:v>
      </x:c>
      <x:c r="J9" s="11" t="str">
        <x:v>expected_result_defined</x:v>
      </x:c>
      <x:c r="K9" s="11" t="str">
        <x:v>Tests source thresholds only; legal applicability intentionally outside this test.</x:v>
      </x:c>
    </x:row>
    <x:row r="10" ht="42" customHeight="1">
      <x:c r="A10" s="8" t="str">
        <x:v>TEST_009</x:v>
      </x:c>
      <x:c r="B10" s="8" t="str">
        <x:v>missing_measurement</x:v>
      </x:c>
      <x:c r="C10" s="8" t="str">
        <x:v>kitchen</x:v>
      </x:c>
      <x:c r="D10" s="10"/>
      <x:c r="E10" s="10" t="n">
        <x:v>1.8</x:v>
      </x:c>
      <x:c r="F10" s="8" t="str">
        <x:v>not_evaluated</x:v>
      </x:c>
      <x:c r="G10" s="8" t="str">
        <x:v>unknown area</x:v>
      </x:c>
      <x:c r="H10" s="8" t="str">
        <x:v>synthetic_scalar_rule_test</x:v>
      </x:c>
      <x:c r="I10" s="8" t="str">
        <x:v>Gazette Schedule 7</x:v>
      </x:c>
      <x:c r="J10" s="8" t="str">
        <x:v>expected_result_defined</x:v>
      </x:c>
      <x:c r="K10" s="8" t="str">
        <x:v>Tests source thresholds only; legal applicability intentionally outside this test.</x:v>
      </x:c>
    </x:row>
  </x:sheetData>
  <x:conditionalFormatting sqref="J2:J10">
    <x:cfRule type="containsText" dxfId="34" priority="1" operator="containsText" text="pending"/>
    <x:cfRule type="containsText" dxfId="35" priority="2" operator="containsText" text="conflict"/>
  </x:conditionalFormatting>
  <x:pageMargins left="0.7" right="0.7" top="0.75" bottom="0.75" header="0.3" footer="0.3"/>
  <x:tableParts count="1">
    <x:tablePart xmlns:r="http://schemas.openxmlformats.org/officeDocument/2006/relationships" r:id="R0d5ea2b8dde44294"/>
  </x:tableParts>
</x:worksheet>
</file>

<file path=xl/worksheets/sheet1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3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62" hidden="0" customWidth="1"/>
    <x:col min="12" max="12" width="62" hidden="0" customWidth="1"/>
    <x:col min="13" max="13" width="22" hidden="0" customWidth="1"/>
  </x:cols>
  <x:sheetData>
    <x:row r="1" ht="44" customHeight="1">
      <x:c r="A1" s="7" t="str">
        <x:v>source_id</x:v>
      </x:c>
      <x:c r="B1" s="7" t="str">
        <x:v>filename</x:v>
      </x:c>
      <x:c r="C1" s="7" t="str">
        <x:v>parent_archive</x:v>
      </x:c>
      <x:c r="D1" s="7" t="str">
        <x:v>document_type</x:v>
      </x:c>
      <x:c r="E1" s="17" t="str">
        <x:v>pdf_pages</x:v>
      </x:c>
      <x:c r="F1" s="17" t="str">
        <x:v>text_characters</x:v>
      </x:c>
      <x:c r="G1" s="17" t="str">
        <x:v>keyword_hit_pages</x:v>
      </x:c>
      <x:c r="H1" s="7" t="str">
        <x:v>review_status</x:v>
      </x:c>
      <x:c r="I1" s="7" t="str">
        <x:v>duplicate_of</x:v>
      </x:c>
      <x:c r="J1" s="7" t="str">
        <x:v>sha256</x:v>
      </x:c>
      <x:c r="K1" s="7" t="str">
        <x:v>title_excerpt</x:v>
      </x:c>
      <x:c r="L1" s="7" t="str">
        <x:v>limitation</x:v>
      </x:c>
      <x:c r="M1" s="7" t="str">
        <x:v>content_group</x:v>
      </x:c>
    </x:row>
    <x:row r="2" ht="126" customHeight="1">
      <x:c r="A2" s="8" t="str">
        <x:v>SRC_0001</x:v>
      </x:c>
      <x:c r="B2" s="8" t="str">
        <x:v>2235-54_E.pdf</x:v>
      </x:c>
      <x:c r="C2" s="8" t="str"/>
      <x:c r="D2" s="8" t="str">
        <x:v>gazetted_general_regulation</x:v>
      </x:c>
      <x:c r="E2" s="18" t="n">
        <x:v>155</x:v>
      </x:c>
      <x:c r="F2" s="18" t="n">
        <x:v>231487</x:v>
      </x:c>
      <x:c r="G2" s="18" t="n">
        <x:v>23</x:v>
      </x:c>
      <x:c r="H2" s="8" t="str">
        <x:v>selected_pages_reviewed</x:v>
      </x:c>
      <x:c r="I2" s="8" t="str"/>
      <x:c r="J2" s="8" t="str">
        <x:v>14e829328be1d1caf0767c04532d8ad3aaccdfb30cad9d3a83501d83c87ef0f7</x:v>
      </x:c>
      <x:c r="K2" s="8" t="str">
        <x:v>The Gazette of the Democratic Socialist Republic of Sri Lanka ශී ලංකා පජාතාන්තික සමාජවාදී ජනරජෙය් ගැසට් පතය අති විෙශෂ අංක 2235/54 - 2021 ජූලි මස 08 වැනි බහස්පතින්දා - 2021.07.08 No. 2235/54 – THURSDAY, JULY 08, 2021 EXTRAORDINARY This Gazette Extraordinary can be downloaded from www.documents.gov.lk (Published by Authority) PART I: SECTION (I) — GE</x:v>
      </x:c>
      <x:c r="L2" s="8" t="str">
        <x:v>Current legal applicability not established. Sinhala/Tamil and scanned pages need visual/OCR review.</x:v>
      </x:c>
      <x:c r="M2" s="8" t="str">
        <x:v>SRC_14e829328be1</x:v>
      </x:c>
    </x:row>
    <x:row r="3" ht="126" customHeight="1">
      <x:c r="A3" s="11" t="str">
        <x:v>SRC_0002</x:v>
      </x:c>
      <x:c r="B3" s="11" t="str">
        <x:v>Ambalangoda Sinhala 2024 .7.12.pdf</x:v>
      </x:c>
      <x:c r="C3" s="11" t="str"/>
      <x:c r="D3" s="11" t="str">
        <x:v>local_development_plan</x:v>
      </x:c>
      <x:c r="E3" s="22" t="n">
        <x:v>325</x:v>
      </x:c>
      <x:c r="F3" s="22" t="n">
        <x:v>409613</x:v>
      </x:c>
      <x:c r="G3" s="22" t="n">
        <x:v>0</x:v>
      </x:c>
      <x:c r="H3" s="11" t="str">
        <x:v>keyword_scan_only</x:v>
      </x:c>
      <x:c r="I3" s="11" t="str"/>
      <x:c r="J3" s="11" t="str">
        <x:v>e4f277f6c14cad5102cf35097376a1280fd1e9d97599ff93668621f69683aff5</x:v>
      </x:c>
      <x:c r="K3" s="11" t="str">
        <x:v>නාගරික සංවර්ධන අධිකාරිය - මාතර දිසරික් කාර්යාලය නාගරික සංවර්ධන අධිකාරිය - මාතර දිසරික් කාර්යාලය අම්බලන්ගොඩ නගර සංවර්ධන සැලැස්ම 2023- 2033 “පහතරට විචිතරවත් හරිත නි්ේතනය” නොගරික සංවර්ධන හො නිවොස අමොත‍ොංශය නොගරික සංවර්ධන අධිකොරිය ii අම්බලන්ගොඩ නගර සංවර්ධන සැලැස්ම 2023-2033 නොගරික සංවර්ධන අධිකොරිය අම්බලන්ගොඩ නගර සංවර්ධන සැලැස්ම 2023 – 2033 © නොගරික සංව</x:v>
      </x:c>
      <x:c r="L3" s="11" t="str">
        <x:v>Current legal applicability not established. Sinhala/Tamil and scanned pages need visual/OCR review.</x:v>
      </x:c>
      <x:c r="M3" s="11" t="str">
        <x:v>SRC_e4f277f6c14c</x:v>
      </x:c>
    </x:row>
    <x:row r="4" ht="84" customHeight="1">
      <x:c r="A4" s="8" t="str">
        <x:v>SRC_0003</x:v>
      </x:c>
      <x:c r="B4" s="8" t="str">
        <x:v>Amparav2.pdf</x:v>
      </x:c>
      <x:c r="C4" s="8" t="str"/>
      <x:c r="D4" s="8" t="str">
        <x:v>single_page_needs_visual_review</x:v>
      </x:c>
      <x:c r="E4" s="18" t="n">
        <x:v>1</x:v>
      </x:c>
      <x:c r="F4" s="18" t="n">
        <x:v>327</x:v>
      </x:c>
      <x:c r="G4" s="18" t="n">
        <x:v>0</x:v>
      </x:c>
      <x:c r="H4" s="8" t="str">
        <x:v>keyword_scan_only</x:v>
      </x:c>
      <x:c r="I4" s="8" t="str"/>
      <x:c r="J4" s="8" t="str">
        <x:v>b59b53948205f096cd09b1ff20e3405d393aae1267b82ca7774a4c825c8ea192</x:v>
      </x:c>
      <x:c r="K4" s="8" t="str">
        <x:v>DEVELOPMENT PLAN FOR THE AREA OF AUTHORITY OF AMPARA URBAN COUNCIL 2009 – 2030 VOLUME 02 PART I - PLAN PART II - ZONNING REGULATIONS PART III - PLANNING &amp; BUILDING REGULATIONS URBAN DEVELOPMENT AUTHORITY “SETHSIRIPAYA” BATTARAMULLA 2009 </x:v>
      </x:c>
      <x:c r="L4" s="8" t="str">
        <x:v>Current legal applicability not established. Sinhala/Tamil and scanned pages need visual/OCR review.</x:v>
      </x:c>
      <x:c r="M4" s="8" t="str">
        <x:v>SRC_b59b53948205</x:v>
      </x:c>
    </x:row>
    <x:row r="5" ht="70" customHeight="1">
      <x:c r="A5" s="11" t="str">
        <x:v>SRC_0004</x:v>
      </x:c>
      <x:c r="B5" s="11" t="str">
        <x:v>Badulla Development Plan - English.pdf</x:v>
      </x:c>
      <x:c r="C5" s="11" t="str"/>
      <x:c r="D5" s="11" t="str">
        <x:v>local_development_plan</x:v>
      </x:c>
      <x:c r="E5" s="22" t="n">
        <x:v>379</x:v>
      </x:c>
      <x:c r="F5" s="22" t="n">
        <x:v>448589</x:v>
      </x:c>
      <x:c r="G5" s="22" t="n">
        <x:v>12</x:v>
      </x:c>
      <x:c r="H5" s="11" t="str">
        <x:v>keyword_scan_only</x:v>
      </x:c>
      <x:c r="I5" s="11" t="str"/>
      <x:c r="J5" s="11" t="str">
        <x:v>28769074c8f661bbad9860ae64ec22e140886239d65627f166d0a8c908c469a4</x:v>
      </x:c>
      <x:c r="K5" s="11" t="str">
        <x:v>2021 - 2030 Ministry of Urban Development and Housing  Badulla Development Plan Urban Development Authority 2021-2030 </x:v>
      </x:c>
      <x:c r="L5" s="11" t="str">
        <x:v>Current legal applicability not established. Sinhala/Tamil and scanned pages need visual/OCR review.</x:v>
      </x:c>
      <x:c r="M5" s="11" t="str">
        <x:v>SRC_28769074c8f6</x:v>
      </x:c>
    </x:row>
    <x:row r="6" ht="70" customHeight="1">
      <x:c r="A6" s="8" t="str">
        <x:v>SRC_0005</x:v>
      </x:c>
      <x:c r="B6" s="8" t="str">
        <x:v>Balangoda.zip::Balangoda/Balangoda Volume I PDF.pdf</x:v>
      </x:c>
      <x:c r="C6" s="8" t="str">
        <x:v>Balangoda.zip</x:v>
      </x:c>
      <x:c r="D6" s="8" t="str">
        <x:v>local_development_plan</x:v>
      </x:c>
      <x:c r="E6" s="18" t="n">
        <x:v>69</x:v>
      </x:c>
      <x:c r="F6" s="18" t="n">
        <x:v>79119</x:v>
      </x:c>
      <x:c r="G6" s="18" t="n">
        <x:v>0</x:v>
      </x:c>
      <x:c r="H6" s="8" t="str">
        <x:v>keyword_scan_only</x:v>
      </x:c>
      <x:c r="I6" s="8" t="str"/>
      <x:c r="J6" s="8" t="str">
        <x:v>3058bc0c6ea75ccd84d8012ae56e3f0a95be91ccc769e04139c3929d816572c9</x:v>
      </x:c>
      <x:c r="K6" s="8" t="str">
        <x:v>i ii iii </x:v>
      </x:c>
      <x:c r="L6" s="8" t="str">
        <x:v>Current legal applicability not established. Sinhala/Tamil and scanned pages need visual/OCR review.</x:v>
      </x:c>
      <x:c r="M6" s="8" t="str">
        <x:v>SRC_3058bc0c6ea7</x:v>
      </x:c>
    </x:row>
    <x:row r="7" ht="70" customHeight="1">
      <x:c r="A7" s="11" t="str">
        <x:v>SRC_0006</x:v>
      </x:c>
      <x:c r="B7" s="11" t="str">
        <x:v>Balangoda.zip::Balangoda/Balangoda Volume II PDF.pdf</x:v>
      </x:c>
      <x:c r="C7" s="11" t="str">
        <x:v>Balangoda.zip</x:v>
      </x:c>
      <x:c r="D7" s="11" t="str">
        <x:v>local_development_plan</x:v>
      </x:c>
      <x:c r="E7" s="22" t="n">
        <x:v>166</x:v>
      </x:c>
      <x:c r="F7" s="22" t="n">
        <x:v>237404</x:v>
      </x:c>
      <x:c r="G7" s="22" t="n">
        <x:v>20</x:v>
      </x:c>
      <x:c r="H7" s="11" t="str">
        <x:v>keyword_scan_only</x:v>
      </x:c>
      <x:c r="I7" s="11" t="str"/>
      <x:c r="J7" s="11" t="str">
        <x:v>8d22fa52ebbc28bf2f0896fe19de9d6f7214655d5bf53b7cc98a11f17c08248d</x:v>
      </x:c>
      <x:c r="K7" s="11" t="str">
        <x:v>i ii iii </x:v>
      </x:c>
      <x:c r="L7" s="11" t="str">
        <x:v>Current legal applicability not established. Sinhala/Tamil and scanned pages need visual/OCR review.</x:v>
      </x:c>
      <x:c r="M7" s="11" t="str">
        <x:v>SRC_8d22fa52ebbc</x:v>
      </x:c>
    </x:row>
    <x:row r="8" ht="70" customHeight="1">
      <x:c r="A8" s="8" t="str">
        <x:v>SRC_0007</x:v>
      </x:c>
      <x:c r="B8" s="8" t="str">
        <x:v>BandarawelaE.pdf</x:v>
      </x:c>
      <x:c r="C8" s="8" t="str"/>
      <x:c r="D8" s="8" t="str">
        <x:v>local_development_plan</x:v>
      </x:c>
      <x:c r="E8" s="18" t="n">
        <x:v>302</x:v>
      </x:c>
      <x:c r="F8" s="18" t="n">
        <x:v>366690</x:v>
      </x:c>
      <x:c r="G8" s="18" t="n">
        <x:v>18</x:v>
      </x:c>
      <x:c r="H8" s="8" t="str">
        <x:v>selected_pages_reviewed</x:v>
      </x:c>
      <x:c r="I8" s="8" t="str"/>
      <x:c r="J8" s="8" t="str">
        <x:v>cac6847318d88111c07a7cf9dfe0fbfad948b6f1bc263f358537ecdaa81b20e7</x:v>
      </x:c>
      <x:c r="K8" s="8" t="str">
        <x:v> Bandarawela Development Plan 2023-2033 ii Bandarawela Development Plan 2023-2033 iii Bandarawela Development Plan 2023-2033 Urban Development Authority Ministry of Urban Development and Housing </x:v>
      </x:c>
      <x:c r="L8" s="8" t="str">
        <x:v>Current legal applicability not established. Sinhala/Tamil and scanned pages need visual/OCR review.</x:v>
      </x:c>
      <x:c r="M8" s="8" t="str">
        <x:v>SRC_cac6847318d8</x:v>
      </x:c>
    </x:row>
    <x:row r="9" ht="126" customHeight="1">
      <x:c r="A9" s="11" t="str">
        <x:v>SRC_0008</x:v>
      </x:c>
      <x:c r="B9" s="11" t="str">
        <x:v>Batticaloa2024 (1).pdf</x:v>
      </x:c>
      <x:c r="C9" s="11" t="str"/>
      <x:c r="D9" s="11" t="str">
        <x:v>local_development_plan</x:v>
      </x:c>
      <x:c r="E9" s="22" t="n">
        <x:v>206</x:v>
      </x:c>
      <x:c r="F9" s="22" t="n">
        <x:v>112013</x:v>
      </x:c>
      <x:c r="G9" s="22" t="n">
        <x:v>8</x:v>
      </x:c>
      <x:c r="H9" s="11" t="str">
        <x:v>keyword_scan_only</x:v>
      </x:c>
      <x:c r="I9" s="11" t="str"/>
      <x:c r="J9" s="11" t="str">
        <x:v>52b49ffedd0c82634968631479de95c2f509c38ebf658f8d6529316d12bc3c86</x:v>
      </x:c>
      <x:c r="K9" s="11" t="str">
        <x:v>Ministry of Urban Development &amp; Housing Urban Development Authority BATTICALOA MUNICIPAL COUNCIL AREA URBAN DEVELOPMENT PLAN (2024– 2034) - DRAFT - Strategy Formulation (Regulation) Strategy Formulation (The Plan) Consent Submission Stage 01 Stage 02 Stage 03 Stage 04 Background Studies Formulate Objectives Scoping Detail SWOT Analysis Vision &amp; Goa</x:v>
      </x:c>
      <x:c r="L9" s="11" t="str">
        <x:v>Current legal applicability not established. Sinhala/Tamil and scanned pages need visual/OCR review.</x:v>
      </x:c>
      <x:c r="M9" s="11" t="str">
        <x:v>SRC_52b49ffedd0c</x:v>
      </x:c>
    </x:row>
    <x:row r="10" ht="126" customHeight="1">
      <x:c r="A10" s="8" t="str">
        <x:v>SRC_0009</x:v>
      </x:c>
      <x:c r="B10" s="8" t="str">
        <x:v>Batticaloa2024.pdf</x:v>
      </x:c>
      <x:c r="C10" s="8" t="str"/>
      <x:c r="D10" s="8" t="str">
        <x:v>local_development_plan</x:v>
      </x:c>
      <x:c r="E10" s="18" t="n">
        <x:v>206</x:v>
      </x:c>
      <x:c r="F10" s="18" t="n">
        <x:v>112013</x:v>
      </x:c>
      <x:c r="G10" s="18" t="n">
        <x:v>8</x:v>
      </x:c>
      <x:c r="H10" s="8" t="str">
        <x:v>keyword_scan_only</x:v>
      </x:c>
      <x:c r="I10" s="8" t="str">
        <x:v>SRC_0008</x:v>
      </x:c>
      <x:c r="J10" s="8" t="str">
        <x:v>52b49ffedd0c82634968631479de95c2f509c38ebf658f8d6529316d12bc3c86</x:v>
      </x:c>
      <x:c r="K10" s="8" t="str">
        <x:v>Ministry of Urban Development &amp; Housing Urban Development Authority BATTICALOA MUNICIPAL COUNCIL AREA URBAN DEVELOPMENT PLAN (2024– 2034) - DRAFT - Strategy Formulation (Regulation) Strategy Formulation (The Plan) Consent Submission Stage 01 Stage 02 Stage 03 Stage 04 Background Studies Formulate Objectives Scoping Detail SWOT Analysis Vision &amp; Goa</x:v>
      </x:c>
      <x:c r="L10" s="8" t="str">
        <x:v>Current legal applicability not established. Sinhala/Tamil and scanned pages need visual/OCR review.</x:v>
      </x:c>
      <x:c r="M10" s="8" t="str">
        <x:v>SRC_52b49ffedd0c</x:v>
      </x:c>
    </x:row>
    <x:row r="11" ht="126" customHeight="1">
      <x:c r="A11" s="11" t="str">
        <x:v>SRC_0010</x:v>
      </x:c>
      <x:c r="B11" s="11" t="str">
        <x:v>DambullaTamil240619.pdf</x:v>
      </x:c>
      <x:c r="C11" s="11" t="str"/>
      <x:c r="D11" s="11" t="str">
        <x:v>local_development_plan</x:v>
      </x:c>
      <x:c r="E11" s="22" t="n">
        <x:v>295</x:v>
      </x:c>
      <x:c r="F11" s="22" t="n">
        <x:v>320598</x:v>
      </x:c>
      <x:c r="G11" s="22" t="n">
        <x:v>0</x:v>
      </x:c>
      <x:c r="H11" s="11" t="str">
        <x:v>keyword_scan_only</x:v>
      </x:c>
      <x:c r="I11" s="11" t="str"/>
      <x:c r="J11" s="11" t="str">
        <x:v>da3b7ad24c3210f32f0c7c28c0e7dfcaf848e12d3ec3de8358088544d0892b57</x:v>
      </x:c>
      <x:c r="K11" s="11" t="str">
        <x:v>1 ghupa jk;Gs;is mgptpUj;jp jpl;lk; 2022-2032 2 ghupa jk;Gs;is mgptpUj;jp jpl;lkply; 2022-2032 efu mgptpUj;jp mjpfhurig - = yq;fh -2022 midj;J chpikfSk; ghJfhf;fg;gl;lit ,e;j gpufldj;jpid efu mgptpUj;jp mjpfhurigapdhy; gpufldg;gLj;jg;gl;Ls;sJ.,e;j gpufldj;jpid&gt;g+uzkhfNth gFjpasthfNth ,e;j mjpfhurigapd; g+uz mDkjpapd;wp kPs;gpufldg;gLj;jy;&gt;tpw;wy;&gt;g</x:v>
      </x:c>
      <x:c r="L11" s="11" t="str">
        <x:v>Current legal applicability not established. Sinhala/Tamil and scanned pages need visual/OCR review.</x:v>
      </x:c>
      <x:c r="M11" s="11" t="str">
        <x:v>SRC_da3b7ad24c32</x:v>
      </x:c>
    </x:row>
    <x:row r="12" ht="70" customHeight="1">
      <x:c r="A12" s="8" t="str">
        <x:v>SRC_0011</x:v>
      </x:c>
      <x:c r="B12" s="8" t="str">
        <x:v>Dehiwala_Mount_Lavinia_Dev_Plan_eng.pdf</x:v>
      </x:c>
      <x:c r="C12" s="8" t="str"/>
      <x:c r="D12" s="8" t="str">
        <x:v>local_development_plan</x:v>
      </x:c>
      <x:c r="E12" s="18" t="n">
        <x:v>400</x:v>
      </x:c>
      <x:c r="F12" s="18" t="n">
        <x:v>500483</x:v>
      </x:c>
      <x:c r="G12" s="18" t="n">
        <x:v>6</x:v>
      </x:c>
      <x:c r="H12" s="8" t="str">
        <x:v>keyword_scan_only</x:v>
      </x:c>
      <x:c r="I12" s="8" t="str"/>
      <x:c r="J12" s="8" t="str">
        <x:v>b6d266c4ac8bf50637fbd61aab20b62855f0d30e1f916c5ba9a63ba587bf2d36</x:v>
      </x:c>
      <x:c r="K12" s="8" t="str">
        <x:v>  Dehiwala – Mount Lavinia "The Planned Nest in West Coast" Urban Development Authority Ministry of Urban Development &amp; Housing Municipal Council Area Development Plan 2022–2031 </x:v>
      </x:c>
      <x:c r="L12" s="8" t="str">
        <x:v>Current legal applicability not established. Sinhala/Tamil and scanned pages need visual/OCR review.</x:v>
      </x:c>
      <x:c r="M12" s="8" t="str">
        <x:v>SRC_b6d266c4ac8b</x:v>
      </x:c>
    </x:row>
    <x:row r="13" ht="126" customHeight="1">
      <x:c r="A13" s="11" t="str">
        <x:v>SRC_0012</x:v>
      </x:c>
      <x:c r="B13" s="11" t="str">
        <x:v>DevinuwarPS.pdf</x:v>
      </x:c>
      <x:c r="C13" s="11" t="str"/>
      <x:c r="D13" s="11" t="str">
        <x:v>local_development_plan</x:v>
      </x:c>
      <x:c r="E13" s="22" t="n">
        <x:v>214</x:v>
      </x:c>
      <x:c r="F13" s="22" t="n">
        <x:v>251133</x:v>
      </x:c>
      <x:c r="G13" s="22" t="n">
        <x:v>0</x:v>
      </x:c>
      <x:c r="H13" s="11" t="str">
        <x:v>keyword_scan_only</x:v>
      </x:c>
      <x:c r="I13" s="11" t="str"/>
      <x:c r="J13" s="11" t="str">
        <x:v>04fa30951b6739f62bdbba4e831189a468a147431d6a9d015b59181cac737172</x:v>
      </x:c>
      <x:c r="K13" s="11" t="str">
        <x:v>විසල් මාතර සංවර්ධන සැලැස්ම 2023 – 2033 දෙවිනුවර ප්‍රාදේශීය සභා බල ප්‍රදේශය 1 විසල් මාතර සංවර්ධන සැලැස්ම 2023 – 2033 දෙවිනුවර ප්‍රාදේශීය සභා බල ප්‍රදේශය ii විසල් මාතර සංවර්ධන සැලැස්ම 2023 – 2033 දෙවිනුවර ප්‍රාදේශීය සභා බල ප්‍රදේශය නාගරික සංවර්ධන අධිකාරිය නාගරික සංවර්ධන, ඉදිකිරීම් හා නිවාස අමාත‍ාංශය විසල් මාතර සංවර්ධන සැලැස්ම 2023 – 2033 දෙවිනුවර ප්‍</x:v>
      </x:c>
      <x:c r="L13" s="11" t="str">
        <x:v>Current legal applicability not established. Sinhala/Tamil and scanned pages need visual/OCR review.</x:v>
      </x:c>
      <x:c r="M13" s="11" t="str">
        <x:v>SRC_04fa30951b67</x:v>
      </x:c>
    </x:row>
    <x:row r="14" ht="126" customHeight="1">
      <x:c r="A14" s="8" t="str">
        <x:v>SRC_0013</x:v>
      </x:c>
      <x:c r="B14" s="8" t="str">
        <x:v>Ella Development Plan - English.pdf</x:v>
      </x:c>
      <x:c r="C14" s="8" t="str"/>
      <x:c r="D14" s="8" t="str">
        <x:v>local_development_plan</x:v>
      </x:c>
      <x:c r="E14" s="18" t="n">
        <x:v>327</x:v>
      </x:c>
      <x:c r="F14" s="18" t="n">
        <x:v>425472</x:v>
      </x:c>
      <x:c r="G14" s="18" t="n">
        <x:v>14</x:v>
      </x:c>
      <x:c r="H14" s="8" t="str">
        <x:v>keyword_scan_only</x:v>
      </x:c>
      <x:c r="I14" s="8" t="str"/>
      <x:c r="J14" s="8" t="str">
        <x:v>bee4459fef1accce46d15b8996777cea90ee283b73d036e49b0ec9edfc7380a9</x:v>
      </x:c>
      <x:c r="K14" s="8" t="str">
        <x:v> ELLA DEVELOPMENT PLAN 2021-2030 URBAN DEVELOPMENT AUTHORITY Ministry of Urban Development And Housing Ella Development Plan 2021 - 2030 © Urban Development Authority - Sri Lanka 2021 All Right Reserved. This publication is published by the Urban Development Authority. Duplication, Trade, Distribution, Copying or otherwise without the prior consent</x:v>
      </x:c>
      <x:c r="L14" s="8" t="str">
        <x:v>Current legal applicability not established. Sinhala/Tamil and scanned pages need visual/OCR review.</x:v>
      </x:c>
      <x:c r="M14" s="8" t="str">
        <x:v>SRC_bee4459fef1a</x:v>
      </x:c>
    </x:row>
    <x:row r="15" ht="126" customHeight="1">
      <x:c r="A15" s="11" t="str">
        <x:v>SRC_0014</x:v>
      </x:c>
      <x:c r="B15" s="11" t="str">
        <x:v>Embilipitiya Development Plan - English.pdf</x:v>
      </x:c>
      <x:c r="C15" s="11" t="str"/>
      <x:c r="D15" s="11" t="str">
        <x:v>local_development_plan</x:v>
      </x:c>
      <x:c r="E15" s="22" t="n">
        <x:v>402</x:v>
      </x:c>
      <x:c r="F15" s="22" t="n">
        <x:v>461919</x:v>
      </x:c>
      <x:c r="G15" s="22" t="n">
        <x:v>12</x:v>
      </x:c>
      <x:c r="H15" s="11" t="str">
        <x:v>keyword_scan_only</x:v>
      </x:c>
      <x:c r="I15" s="11" t="str"/>
      <x:c r="J15" s="11" t="str">
        <x:v>c46ac02222294576524d3a347a00f959859d449bd35140f5fb086a888f294c0c</x:v>
      </x:c>
      <x:c r="K15" s="11" t="str">
        <x:v> Embilipitiya Development Plan 2021–2030 Urban Development Authority Ministry of Urban Development &amp; Housing Embilipitiya Development Plan 2021–2030 Urban Development Authority II Embilipitiya Development Plan 2021–2030 © Urban Development Authority – Sri Lanka 2021 All Right Reserved. This publication is published by the Urban Development Authorit</x:v>
      </x:c>
      <x:c r="L15" s="11" t="str">
        <x:v>Current legal applicability not established. Sinhala/Tamil and scanned pages need visual/OCR review.</x:v>
      </x:c>
      <x:c r="M15" s="11" t="str">
        <x:v>SRC_c46ac0222229</x:v>
      </x:c>
    </x:row>
    <x:row r="16" ht="126" customHeight="1">
      <x:c r="A16" s="8" t="str">
        <x:v>SRC_0015</x:v>
      </x:c>
      <x:c r="B16" s="8" t="str">
        <x:v>English.pdf</x:v>
      </x:c>
      <x:c r="C16" s="8" t="str"/>
      <x:c r="D16" s="8" t="str">
        <x:v>local_development_plan</x:v>
      </x:c>
      <x:c r="E16" s="18" t="n">
        <x:v>207</x:v>
      </x:c>
      <x:c r="F16" s="18" t="n">
        <x:v>270325</x:v>
      </x:c>
      <x:c r="G16" s="18" t="n">
        <x:v>18</x:v>
      </x:c>
      <x:c r="H16" s="8" t="str">
        <x:v>keyword_scan_only</x:v>
      </x:c>
      <x:c r="I16" s="8" t="str"/>
      <x:c r="J16" s="8" t="str">
        <x:v>808d617076c2614fefdd2bdaf90d44d8884373c291102ff2c725cfd63432406d</x:v>
      </x:c>
      <x:c r="K16" s="8" t="str">
        <x:v>Hambantota Municipal Council Area Development Plan: 2019 – 2030 i Hambantota Municipal Council Area Southern Province – Urban Development Authority Hambantota Municipal Council Area Development Plan: 2019 – 2030 ii Hambantota Municipal Council Area Southern Province – Urban Development Authority Hambantota Municipal Council Area Development Plan: 2</x:v>
      </x:c>
      <x:c r="L16" s="8" t="str">
        <x:v>Current legal applicability not established. Sinhala/Tamil and scanned pages need visual/OCR review.</x:v>
      </x:c>
      <x:c r="M16" s="8" t="str">
        <x:v>SRC_808d617076c2</x:v>
      </x:c>
    </x:row>
    <x:row r="17" ht="126" customHeight="1">
      <x:c r="A17" s="11" t="str">
        <x:v>SRC_0016</x:v>
      </x:c>
      <x:c r="B17" s="11" t="str">
        <x:v>ErvurE_2025.pdf</x:v>
      </x:c>
      <x:c r="C17" s="11" t="str"/>
      <x:c r="D17" s="11" t="str">
        <x:v>local_development_plan</x:v>
      </x:c>
      <x:c r="E17" s="22" t="n">
        <x:v>257</x:v>
      </x:c>
      <x:c r="F17" s="22" t="n">
        <x:v>301257</x:v>
      </x:c>
      <x:c r="G17" s="22" t="n">
        <x:v>6</x:v>
      </x:c>
      <x:c r="H17" s="11" t="str">
        <x:v>keyword_scan_only</x:v>
      </x:c>
      <x:c r="I17" s="11" t="str"/>
      <x:c r="J17" s="11" t="str">
        <x:v>7d7c67faa167f1ff398d0bb39d4ea5d17e88920605d31ff87c6479373592990c</x:v>
      </x:c>
      <x:c r="K17" s="11" t="str">
        <x:v>ERAVUR URBAN COUNCIL AREA DEVELOPMENT PLAN (2024-2033) “Glorious Urban Arcade In The East Corridor’’ Urban Development Authority Ministry of Urban Development, Construction &amp; Housing i Eravur Urban Council Area Development Plan (2024-2033) Urban Development Authority Ministry of Urban Development, Construction &amp; Housing ii Eravur Development Plan 2</x:v>
      </x:c>
      <x:c r="L17" s="11" t="str">
        <x:v>Current legal applicability not established. Sinhala/Tamil and scanned pages need visual/OCR review.</x:v>
      </x:c>
      <x:c r="M17" s="11" t="str">
        <x:v>SRC_7d7c67faa167</x:v>
      </x:c>
    </x:row>
    <x:row r="18" ht="126" customHeight="1">
      <x:c r="A18" s="8" t="str">
        <x:v>SRC_0017</x:v>
      </x:c>
      <x:c r="B18" s="8" t="str">
        <x:v>Euston_Opportunity_Brochure.pdf</x:v>
      </x:c>
      <x:c r="C18" s="8" t="str"/>
      <x:c r="D18" s="8" t="str">
        <x:v>other_reference</x:v>
      </x:c>
      <x:c r="E18" s="18" t="n">
        <x:v>52</x:v>
      </x:c>
      <x:c r="F18" s="18" t="n">
        <x:v>80236</x:v>
      </x:c>
      <x:c r="G18" s="18" t="n">
        <x:v>1</x:v>
      </x:c>
      <x:c r="H18" s="8" t="str">
        <x:v>keyword_scan_only</x:v>
      </x:c>
      <x:c r="I18" s="8" t="str"/>
      <x:c r="J18" s="8" t="str">
        <x:v>877074227a807f505f97bfa26f8daae6dfecb03aa37e9b51223f62319dfbb008</x:v>
      </x:c>
      <x:c r="K18" s="8" t="str">
        <x:v>October 2026 © Andrew Holt Euston Opportunity Brochure © Jenna Selby © Andrew Holt Developed in partnership with Together, we establish the pathway for Euston’s future. 2 contents Contents 01. Executive summary. . . . . . . . . . . . . . . . . . . . . . . . . . . . . . 4 02. Forewords . . . . . . . . . . . . . . . . . . . . . . . . . . . . . . . . </x:v>
      </x:c>
      <x:c r="L18" s="8" t="str">
        <x:v>Current legal applicability not established. Sinhala/Tamil and scanned pages need visual/OCR review.</x:v>
      </x:c>
      <x:c r="M18" s="8" t="str">
        <x:v>SRC_877074227a80</x:v>
      </x:c>
    </x:row>
    <x:row r="19" ht="70" customHeight="1">
      <x:c r="A19" s="11" t="str">
        <x:v>SRC_0018</x:v>
      </x:c>
      <x:c r="B19" s="11" t="str">
        <x:v>Five_in_One_II.pdf</x:v>
      </x:c>
      <x:c r="C19" s="11" t="str"/>
      <x:c r="D19" s="11" t="str">
        <x:v>local_development_plan</x:v>
      </x:c>
      <x:c r="E19" s="22" t="n">
        <x:v>28</x:v>
      </x:c>
      <x:c r="F19" s="22" t="n">
        <x:v>0</x:v>
      </x:c>
      <x:c r="G19" s="22" t="n">
        <x:v>0</x:v>
      </x:c>
      <x:c r="H19" s="11" t="str">
        <x:v>keyword_scan_only</x:v>
      </x:c>
      <x:c r="I19" s="11" t="str"/>
      <x:c r="J19" s="11" t="str">
        <x:v>628934f9d6ee481cc38cfc1b3ec3700d9cfb9dac465070c5d3b1a03cbe3cdbfe</x:v>
      </x:c>
      <x:c r="K19" s="11" t="str">
        <x:v>   </x:v>
      </x:c>
      <x:c r="L19" s="11" t="str">
        <x:v>Current legal applicability not established. Sinhala/Tamil and scanned pages need visual/OCR review.</x:v>
      </x:c>
      <x:c r="M19" s="11" t="str">
        <x:v>SRC_628934f9d6ee</x:v>
      </x:c>
    </x:row>
    <x:row r="20" ht="70" customHeight="1">
      <x:c r="A20" s="8" t="str">
        <x:v>SRC_0019</x:v>
      </x:c>
      <x:c r="B20" s="8" t="str">
        <x:v>Gampaha.zip::Gampaha/Gampaha I.pdf</x:v>
      </x:c>
      <x:c r="C20" s="8" t="str">
        <x:v>Gampaha.zip</x:v>
      </x:c>
      <x:c r="D20" s="8" t="str">
        <x:v>local_development_plan</x:v>
      </x:c>
      <x:c r="E20" s="18" t="n">
        <x:v>25</x:v>
      </x:c>
      <x:c r="F20" s="18" t="n">
        <x:v>0</x:v>
      </x:c>
      <x:c r="G20" s="18" t="n">
        <x:v>0</x:v>
      </x:c>
      <x:c r="H20" s="8" t="str">
        <x:v>keyword_scan_only</x:v>
      </x:c>
      <x:c r="I20" s="8" t="str"/>
      <x:c r="J20" s="8" t="str">
        <x:v>a74da9bee8643edb1a07dea222521ebc415fac992c48157bcd87e1c51b2036ba</x:v>
      </x:c>
      <x:c r="K20" s="8" t="str">
        <x:v>   </x:v>
      </x:c>
      <x:c r="L20" s="8" t="str">
        <x:v>Current legal applicability not established. Sinhala/Tamil and scanned pages need visual/OCR review.</x:v>
      </x:c>
      <x:c r="M20" s="8" t="str">
        <x:v>SRC_a74da9bee864</x:v>
      </x:c>
    </x:row>
    <x:row r="21" ht="70" customHeight="1">
      <x:c r="A21" s="11" t="str">
        <x:v>SRC_0020</x:v>
      </x:c>
      <x:c r="B21" s="11" t="str">
        <x:v>Gampaha.zip::Gampaha/Gampaha II.pdf</x:v>
      </x:c>
      <x:c r="C21" s="11" t="str">
        <x:v>Gampaha.zip</x:v>
      </x:c>
      <x:c r="D21" s="11" t="str">
        <x:v>local_development_plan</x:v>
      </x:c>
      <x:c r="E21" s="22" t="n">
        <x:v>50</x:v>
      </x:c>
      <x:c r="F21" s="22" t="n">
        <x:v>0</x:v>
      </x:c>
      <x:c r="G21" s="22" t="n">
        <x:v>0</x:v>
      </x:c>
      <x:c r="H21" s="11" t="str">
        <x:v>keyword_scan_only</x:v>
      </x:c>
      <x:c r="I21" s="11" t="str"/>
      <x:c r="J21" s="11" t="str">
        <x:v>a3fe2328c07e9cf286900c677a3f3113c6f6625eff62baa7b46020f9ba3d0502</x:v>
      </x:c>
      <x:c r="K21" s="11" t="str">
        <x:v>   </x:v>
      </x:c>
      <x:c r="L21" s="11" t="str">
        <x:v>Current legal applicability not established. Sinhala/Tamil and scanned pages need visual/OCR review.</x:v>
      </x:c>
      <x:c r="M21" s="11" t="str">
        <x:v>SRC_a3fe2328c07e</x:v>
      </x:c>
    </x:row>
    <x:row r="22" ht="84" customHeight="1">
      <x:c r="A22" s="8" t="str">
        <x:v>SRC_0021</x:v>
      </x:c>
      <x:c r="B22" s="8" t="str">
        <x:v>Gampola Development Plan - Sinhala.pdf</x:v>
      </x:c>
      <x:c r="C22" s="8" t="str"/>
      <x:c r="D22" s="8" t="str">
        <x:v>local_development_plan</x:v>
      </x:c>
      <x:c r="E22" s="18" t="n">
        <x:v>197</x:v>
      </x:c>
      <x:c r="F22" s="18" t="n">
        <x:v>273544</x:v>
      </x:c>
      <x:c r="G22" s="18" t="n">
        <x:v>0</x:v>
      </x:c>
      <x:c r="H22" s="8" t="str">
        <x:v>keyword_scan_only</x:v>
      </x:c>
      <x:c r="I22" s="8" t="str"/>
      <x:c r="J22" s="8" t="str">
        <x:v>9da42c38ad97e75186fb5f4f20b9a8c62d67a0d74682d8b8568da7706d71e565</x:v>
      </x:c>
      <x:c r="K22" s="8" t="str">
        <x:v>ගම්පඳොශ ඿ං඼ර්ධන ඿ළරළ඿සභ 2025 - 2035 ගම්පඳොශ ඿ං඼ර්ධන ඿ළරළ඿සභ 2025 - 2035 ගම්පඳොශ නගය ඿ං඼ර්ධන ඿ළරළ඿සභ 2025 - 2035 ගම්පඳොශ ඿ං඼ර්ධන ඿ළරළ඿සභ 2025 - 2035 නහගරික ඿ං඼ර්ධන අධිකහරිඹ භධයභ ඳශහත් කහර්ඹහරඹ ප්‍ර඼හවන, භවහභහර්ග ඿ව නහගරික ඿ං඼ර්ධන අභහත්යහංලඹ </x:v>
      </x:c>
      <x:c r="L22" s="8" t="str">
        <x:v>Current legal applicability not established. Sinhala/Tamil and scanned pages need visual/OCR review.</x:v>
      </x:c>
      <x:c r="M22" s="8" t="str">
        <x:v>SRC_9da42c38ad97</x:v>
      </x:c>
    </x:row>
    <x:row r="23" ht="112" customHeight="1">
      <x:c r="A23" s="11" t="str">
        <x:v>SRC_0022</x:v>
      </x:c>
      <x:c r="B23" s="11" t="str">
        <x:v>Hakmana Development Plan - English.pdf</x:v>
      </x:c>
      <x:c r="C23" s="11" t="str"/>
      <x:c r="D23" s="11" t="str">
        <x:v>local_development_plan</x:v>
      </x:c>
      <x:c r="E23" s="22" t="n">
        <x:v>204</x:v>
      </x:c>
      <x:c r="F23" s="22" t="n">
        <x:v>341474</x:v>
      </x:c>
      <x:c r="G23" s="22" t="n">
        <x:v>5</x:v>
      </x:c>
      <x:c r="H23" s="11" t="str">
        <x:v>keyword_scan_only</x:v>
      </x:c>
      <x:c r="I23" s="11" t="str"/>
      <x:c r="J23" s="11" t="str">
        <x:v>e6e6d48cfecb560f9c2a25958edb8f62ded3acfbb52f619ea08f332f9f10b870</x:v>
      </x:c>
      <x:c r="K23" s="11" t="str">
        <x:v>Hakmana Development Plan 2021 – 2030 Urban Development Authority i Urban Development Authority Ministry of Urban Development &amp; Housing  Hakmana Development Plan 2021 – 2030 Urban Development Authority iii Hakmana Development Plan 2021-2030 Urban Development Authority Ministry of Urban Development &amp; Housing </x:v>
      </x:c>
      <x:c r="L23" s="11" t="str">
        <x:v>Current legal applicability not established. Sinhala/Tamil and scanned pages need visual/OCR review.</x:v>
      </x:c>
      <x:c r="M23" s="11" t="str">
        <x:v>SRC_e6e6d48cfecb</x:v>
      </x:c>
    </x:row>
    <x:row r="24" ht="126" customHeight="1">
      <x:c r="A24" s="8" t="str">
        <x:v>SRC_0023</x:v>
      </x:c>
      <x:c r="B24" s="8" t="str">
        <x:v>HattonDP2023-2033_E.pdf</x:v>
      </x:c>
      <x:c r="C24" s="8" t="str"/>
      <x:c r="D24" s="8" t="str">
        <x:v>local_development_plan</x:v>
      </x:c>
      <x:c r="E24" s="18" t="n">
        <x:v>270</x:v>
      </x:c>
      <x:c r="F24" s="18" t="n">
        <x:v>414654</x:v>
      </x:c>
      <x:c r="G24" s="18" t="n">
        <x:v>15</x:v>
      </x:c>
      <x:c r="H24" s="8" t="str">
        <x:v>keyword_scan_only</x:v>
      </x:c>
      <x:c r="I24" s="8" t="str"/>
      <x:c r="J24" s="8" t="str">
        <x:v>6521692df8d55fa4afbb78a4943a282abfb6e074b9e09d6e18dc6525b6cb0335</x:v>
      </x:c>
      <x:c r="K24" s="8" t="str">
        <x:v>HATTON DEVELOPMENT PLAN 2024-2033 “The Eden of Tea Hill” Urban Development Authority Ministry of Urban Development &amp; Housing Hatton Development Plan 2024-2033 Urban Development Authority II HATTON DEVELOPMENT PLAN 2024-2033 “The Eden of Tea Hill” Urban Development Authority Ministry of Urban Development &amp; Housing Hatton Development Plan 2024-2033 U</x:v>
      </x:c>
      <x:c r="L24" s="8" t="str">
        <x:v>Current legal applicability not established. Sinhala/Tamil and scanned pages need visual/OCR review.</x:v>
      </x:c>
      <x:c r="M24" s="8" t="str">
        <x:v>SRC_6521692df8d5</x:v>
      </x:c>
    </x:row>
    <x:row r="25" ht="70" customHeight="1">
      <x:c r="A25" s="11" t="str">
        <x:v>SRC_0024</x:v>
      </x:c>
      <x:c r="B25" s="11" t="str">
        <x:v>Higurakgoda-sinhala.pdf</x:v>
      </x:c>
      <x:c r="C25" s="11" t="str"/>
      <x:c r="D25" s="11" t="str">
        <x:v>local_development_plan</x:v>
      </x:c>
      <x:c r="E25" s="22" t="n">
        <x:v>339</x:v>
      </x:c>
      <x:c r="F25" s="22" t="n">
        <x:v>428956</x:v>
      </x:c>
      <x:c r="G25" s="22" t="n">
        <x:v>0</x:v>
      </x:c>
      <x:c r="H25" s="11" t="str">
        <x:v>keyword_scan_only</x:v>
      </x:c>
      <x:c r="I25" s="11" t="str"/>
      <x:c r="J25" s="11" t="str">
        <x:v>d35ddc0413d9a4ccb4ec6cb0fb75f58545c1b8d3d770986af135afc217422992</x:v>
      </x:c>
      <x:c r="K25" s="11" t="str">
        <x:v>හිඟුරක්ගොඩ නොගරික සංවර්ධන සැලැස්ම 2025 – 2034 නොගරික සංවර්ධන අධිකොරිය ප්‍රවොහන, මහොමොර්ග සහ නොගරික සංවර්ධන අමොත්‍ොංශය හිඟුරක්ගොඩ නොගරික සංවර්ධන සැලැස්ම 2025 – 2034 නොගරික සංවර්ධන අධිකොරිය  </x:v>
      </x:c>
      <x:c r="L25" s="11" t="str">
        <x:v>Current legal applicability not established. Sinhala/Tamil and scanned pages need visual/OCR review.</x:v>
      </x:c>
      <x:c r="M25" s="11" t="str">
        <x:v>SRC_d35ddc0413d9</x:v>
      </x:c>
    </x:row>
    <x:row r="26" ht="70" customHeight="1">
      <x:c r="A26" s="8" t="str">
        <x:v>SRC_0025</x:v>
      </x:c>
      <x:c r="B26" s="8" t="str">
        <x:v>Hikkaduwa_Dev_Plan_sin.pdf</x:v>
      </x:c>
      <x:c r="C26" s="8" t="str"/>
      <x:c r="D26" s="8" t="str">
        <x:v>local_development_plan</x:v>
      </x:c>
      <x:c r="E26" s="18" t="n">
        <x:v>76</x:v>
      </x:c>
      <x:c r="F26" s="18" t="n">
        <x:v>0</x:v>
      </x:c>
      <x:c r="G26" s="18" t="n">
        <x:v>0</x:v>
      </x:c>
      <x:c r="H26" s="8" t="str">
        <x:v>keyword_scan_only</x:v>
      </x:c>
      <x:c r="I26" s="8" t="str"/>
      <x:c r="J26" s="8" t="str">
        <x:v>e1d631223f82662035391bd2d8892663e1ab4d10beb3ec7a5e898cf768ed5fe5</x:v>
      </x:c>
      <x:c r="K26" s="8" t="str">
        <x:v>   </x:v>
      </x:c>
      <x:c r="L26" s="8" t="str">
        <x:v>Current legal applicability not established. Sinhala/Tamil and scanned pages need visual/OCR review.</x:v>
      </x:c>
      <x:c r="M26" s="8" t="str">
        <x:v>SRC_e1d631223f82</x:v>
      </x:c>
    </x:row>
    <x:row r="27" ht="126" customHeight="1">
      <x:c r="A27" s="11" t="str">
        <x:v>SRC_0026</x:v>
      </x:c>
      <x:c r="B27" s="11" t="str">
        <x:v>Homagama.zip::Homagama/Development Plan-homagama.pdf</x:v>
      </x:c>
      <x:c r="C27" s="11" t="str">
        <x:v>Homagama.zip</x:v>
      </x:c>
      <x:c r="D27" s="11" t="str">
        <x:v>local_development_plan</x:v>
      </x:c>
      <x:c r="E27" s="22" t="n">
        <x:v>114</x:v>
      </x:c>
      <x:c r="F27" s="22" t="n">
        <x:v>125626</x:v>
      </x:c>
      <x:c r="G27" s="22" t="n">
        <x:v>6</x:v>
      </x:c>
      <x:c r="H27" s="11" t="str">
        <x:v>keyword_scan_only</x:v>
      </x:c>
      <x:c r="I27" s="11" t="str"/>
      <x:c r="J27" s="11" t="str">
        <x:v>336b23839855ae144e45f29ff219519d840a23ee177ea701e34313007e4914b5</x:v>
      </x:c>
      <x:c r="K27" s="11" t="str">
        <x:v>1 01 Introduction 1.1 Homagama Pradeshiya Sabha Jurisdiction Area Homagama Pradeshiya Sabha (Homagama PS) is situated along High Level Road about 4.0 Km away from City of Colombo and it consists with 90 Grama Niladari Divisions (GND). The land extent of Homagama PS is 115 Sq.m. Homagama Pradeshiya Sabha Area covers the administrative limits of the </x:v>
      </x:c>
      <x:c r="L27" s="11" t="str">
        <x:v>Current legal applicability not established. Sinhala/Tamil and scanned pages need visual/OCR review.</x:v>
      </x:c>
      <x:c r="M27" s="11" t="str">
        <x:v>SRC_336b23839855</x:v>
      </x:c>
    </x:row>
    <x:row r="28" ht="70" customHeight="1">
      <x:c r="A28" s="8" t="str">
        <x:v>SRC_0027</x:v>
      </x:c>
      <x:c r="B28" s="8" t="str">
        <x:v>Homagama.zip::Homagama/Homagama_DP_Summary.pdf</x:v>
      </x:c>
      <x:c r="C28" s="8" t="str">
        <x:v>Homagama.zip</x:v>
      </x:c>
      <x:c r="D28" s="8" t="str">
        <x:v>local_development_plan</x:v>
      </x:c>
      <x:c r="E28" s="18" t="n">
        <x:v>26</x:v>
      </x:c>
      <x:c r="F28" s="18" t="n">
        <x:v>0</x:v>
      </x:c>
      <x:c r="G28" s="18" t="n">
        <x:v>0</x:v>
      </x:c>
      <x:c r="H28" s="8" t="str">
        <x:v>keyword_scan_only</x:v>
      </x:c>
      <x:c r="I28" s="8" t="str"/>
      <x:c r="J28" s="8" t="str">
        <x:v>0172afa9a670818e24fd98cf320b8f2b595d2a70f492daf6871b650ec42b887f</x:v>
      </x:c>
      <x:c r="K28" s="8" t="str">
        <x:v>   </x:v>
      </x:c>
      <x:c r="L28" s="8" t="str">
        <x:v>Current legal applicability not established. Sinhala/Tamil and scanned pages need visual/OCR review.</x:v>
      </x:c>
      <x:c r="M28" s="8" t="str">
        <x:v>SRC_0172afa9a670</x:v>
      </x:c>
    </x:row>
    <x:row r="29" ht="126" customHeight="1">
      <x:c r="A29" s="11" t="str">
        <x:v>SRC_0028</x:v>
      </x:c>
      <x:c r="B29" s="11" t="str">
        <x:v>January_2026_-_Welcome_to_our_new_Building_Safety_Newsletter.pdf</x:v>
      </x:c>
      <x:c r="C29" s="11" t="str"/>
      <x:c r="D29" s="11" t="str">
        <x:v>other_reference</x:v>
      </x:c>
      <x:c r="E29" s="22" t="n">
        <x:v>10</x:v>
      </x:c>
      <x:c r="F29" s="22" t="n">
        <x:v>14087</x:v>
      </x:c>
      <x:c r="G29" s="22" t="n">
        <x:v>0</x:v>
      </x:c>
      <x:c r="H29" s="11" t="str">
        <x:v>keyword_scan_only</x:v>
      </x:c>
      <x:c r="I29" s="11" t="str"/>
      <x:c r="J29" s="11" t="str">
        <x:v>dad0db675e6594dcc3765a50948e632af6e66fb5379b071973301a362ad7e8e3</x:v>
      </x:c>
      <x:c r="K29" s="11" t="str">
        <x:v>View in browser Building Safety Newsletter January 2026 Edition Welcome to the first edition of our Building Safety Newsletter. We aim to bring you regular news from the Ministry of Housing, Communities and Local Government (MHCLG) on the work we are doing to make buildings safer and improve the building safety system. In this edition you will find</x:v>
      </x:c>
      <x:c r="L29" s="11" t="str">
        <x:v>Current legal applicability not established. Sinhala/Tamil and scanned pages need visual/OCR review.</x:v>
      </x:c>
      <x:c r="M29" s="11" t="str">
        <x:v>SRC_dad0db675e65</x:v>
      </x:c>
    </x:row>
    <x:row r="30" ht="126" customHeight="1">
      <x:c r="A30" s="8" t="str">
        <x:v>SRC_0029</x:v>
      </x:c>
      <x:c r="B30" s="8" t="str">
        <x:v>July_2026_-_Summer_edition.pdf</x:v>
      </x:c>
      <x:c r="C30" s="8" t="str"/>
      <x:c r="D30" s="8" t="str">
        <x:v>other_reference</x:v>
      </x:c>
      <x:c r="E30" s="18" t="n">
        <x:v>10</x:v>
      </x:c>
      <x:c r="F30" s="18" t="n">
        <x:v>12911</x:v>
      </x:c>
      <x:c r="G30" s="18" t="n">
        <x:v>0</x:v>
      </x:c>
      <x:c r="H30" s="8" t="str">
        <x:v>keyword_scan_only</x:v>
      </x:c>
      <x:c r="I30" s="8" t="str"/>
      <x:c r="J30" s="8" t="str">
        <x:v>237865f6025275510b8dc71b01d5ea91bb2449e50e89c29841dc459407cf98e9</x:v>
      </x:c>
      <x:c r="K30" s="8" t="str">
        <x:v>View in browser Building Safety Newsletter July 2026 Edition Welcome to the summer edition of our Building Safety Newsletter. We aim to bring you regular news from the Ministry of Housing, Communities and Local Government on the work we are doing to make buildings safe and improve the building safety system. In this edition you will find: a forewor</x:v>
      </x:c>
      <x:c r="L30" s="8" t="str">
        <x:v>Current legal applicability not established. Sinhala/Tamil and scanned pages need visual/OCR review.</x:v>
      </x:c>
      <x:c r="M30" s="8" t="str">
        <x:v>SRC_237865f60252</x:v>
      </x:c>
    </x:row>
    <x:row r="31" ht="126" customHeight="1">
      <x:c r="A31" s="11" t="str">
        <x:v>SRC_0030</x:v>
      </x:c>
      <x:c r="B31" s="11" t="str">
        <x:v>KaduwelaDP2023-2033_S.pdf</x:v>
      </x:c>
      <x:c r="C31" s="11" t="str"/>
      <x:c r="D31" s="11" t="str">
        <x:v>local_development_plan</x:v>
      </x:c>
      <x:c r="E31" s="22" t="n">
        <x:v>402</x:v>
      </x:c>
      <x:c r="F31" s="22" t="n">
        <x:v>453658</x:v>
      </x:c>
      <x:c r="G31" s="22" t="n">
        <x:v>0</x:v>
      </x:c>
      <x:c r="H31" s="11" t="str">
        <x:v>keyword_scan_only</x:v>
      </x:c>
      <x:c r="I31" s="11" t="str"/>
      <x:c r="J31" s="11" t="str">
        <x:v>b49a548e9af3b3be0aa1ed7a244b0bb44f570bdd65a058fcadc133f9e0b363d6</x:v>
      </x:c>
      <x:c r="K31" s="11" t="str">
        <x:v> i කūෙවල මහ නගර සභා සංවʽධන සැලැˈම 2023 -2033 නාගˀක සංවʽධන අŷකාˀය නාගˀක සංවʽධන හා ɓවාස අමාත̾ාංශය කūෙවල මහ නගර සභා සංවʽධන සැලැˈම 2023-2033 @ නාගˀක සංවʽධන අŷකාˀය - ˙ ලංකාව - 2023 ˉයȍම ƭșකȘ ඇ̩ˀʄ. ෙමම ʰකාශනය නාගˀක සංවʽධන අŷකාˀය ̩ˉȽ ʰකාශයට පˬ ෙකෙʽ. ෙමම ʰකාශනය සȘʲʽණෙයȽම ෙහȥ ෙකාටසǥ ෙමම අŷකාˀෙ̴ ʲʽව අɜමැ˭යǦȽ ෙතාරව ʰ˭ʰකාශනය Ǧˁම, ̩Ǧʅම, ෙබදාහැˁම ȋȀත අවසරයǦȽ ෙතා</x:v>
      </x:c>
      <x:c r="L31" s="11" t="str">
        <x:v>Current legal applicability not established. Sinhala/Tamil and scanned pages need visual/OCR review.</x:v>
      </x:c>
      <x:c r="M31" s="11" t="str">
        <x:v>SRC_b49a548e9af3</x:v>
      </x:c>
    </x:row>
    <x:row r="32" ht="98" customHeight="1">
      <x:c r="A32" s="8" t="str">
        <x:v>SRC_0031</x:v>
      </x:c>
      <x:c r="B32" s="8" t="str">
        <x:v>Kalpitiya Development Plan - English.pdf</x:v>
      </x:c>
      <x:c r="C32" s="8" t="str"/>
      <x:c r="D32" s="8" t="str">
        <x:v>local_development_plan</x:v>
      </x:c>
      <x:c r="E32" s="18" t="n">
        <x:v>409</x:v>
      </x:c>
      <x:c r="F32" s="18" t="n">
        <x:v>438608</x:v>
      </x:c>
      <x:c r="G32" s="18" t="n">
        <x:v>9</x:v>
      </x:c>
      <x:c r="H32" s="8" t="str">
        <x:v>keyword_scan_only</x:v>
      </x:c>
      <x:c r="I32" s="8" t="str"/>
      <x:c r="J32" s="8" t="str">
        <x:v>eec9dd7e3a1b6aceebff21ae3ec72ba30d5181dadbb054e8fb74faeeee9693c8</x:v>
      </x:c>
      <x:c r="K32" s="8" t="str">
        <x:v>1 Kalpitiya Development Plan | 2021-2030 Urban Development Authority KALPITIYA URBAN DEVELOPMENT PLAN 2021-2030 Urban Development Authority Ministry of Urban Development &amp; Housing  KALPITIYA URBAN DEVELOPMENT PLAN 2021-2030 Urban Development Authority Ministry of Urban Development &amp; Housing </x:v>
      </x:c>
      <x:c r="L32" s="8" t="str">
        <x:v>Current legal applicability not established. Sinhala/Tamil and scanned pages need visual/OCR review.</x:v>
      </x:c>
      <x:c r="M32" s="8" t="str">
        <x:v>SRC_eec9dd7e3a1b</x:v>
      </x:c>
    </x:row>
    <x:row r="33" ht="126" customHeight="1">
      <x:c r="A33" s="11" t="str">
        <x:v>SRC_0032</x:v>
      </x:c>
      <x:c r="B33" s="11" t="str">
        <x:v>Kalutara(1).zip::Kalutara/Kalutara_1.pdf</x:v>
      </x:c>
      <x:c r="C33" s="11" t="str">
        <x:v>Kalutara(1).zip</x:v>
      </x:c>
      <x:c r="D33" s="11" t="str">
        <x:v>local_development_plan</x:v>
      </x:c>
      <x:c r="E33" s="22" t="n">
        <x:v>32</x:v>
      </x:c>
      <x:c r="F33" s="22" t="n">
        <x:v>58478</x:v>
      </x:c>
      <x:c r="G33" s="22" t="n">
        <x:v>0</x:v>
      </x:c>
      <x:c r="H33" s="11" t="str">
        <x:v>keyword_scan_only</x:v>
      </x:c>
      <x:c r="I33" s="11" t="str"/>
      <x:c r="J33" s="11" t="str">
        <x:v>4f437f42fcd206b03f2c9abd2275735a67551da9e70326a49cdb15a06c1d8172</x:v>
      </x:c>
      <x:c r="K33" s="11" t="str">
        <x:v>1 1.0 Introduction Kalutara town is a coastal town located within the Kalutara Divisional Secretary’s Division in the Kalutara District in the Western Province. The annual temperature of this area is about 26o degrees centigrade and the average annual rainfall is between 2500 – 4000 mm. Kalutara town is situated 40 km. to the south of Colombo and S</x:v>
      </x:c>
      <x:c r="L33" s="11" t="str">
        <x:v>Current legal applicability not established. Sinhala/Tamil and scanned pages need visual/OCR review.</x:v>
      </x:c>
      <x:c r="M33" s="11" t="str">
        <x:v>SRC_4f437f42fcd2</x:v>
      </x:c>
    </x:row>
    <x:row r="34" ht="126" customHeight="1">
      <x:c r="A34" s="8" t="str">
        <x:v>SRC_0033</x:v>
      </x:c>
      <x:c r="B34" s="8" t="str">
        <x:v>Kalutara(1).zip::Kalutara/Kalutara_2.pdf</x:v>
      </x:c>
      <x:c r="C34" s="8" t="str">
        <x:v>Kalutara(1).zip</x:v>
      </x:c>
      <x:c r="D34" s="8" t="str">
        <x:v>local_development_plan</x:v>
      </x:c>
      <x:c r="E34" s="18" t="n">
        <x:v>29</x:v>
      </x:c>
      <x:c r="F34" s="18" t="n">
        <x:v>63824</x:v>
      </x:c>
      <x:c r="G34" s="18" t="n">
        <x:v>10</x:v>
      </x:c>
      <x:c r="H34" s="8" t="str">
        <x:v>keyword_scan_only</x:v>
      </x:c>
      <x:c r="I34" s="8" t="str"/>
      <x:c r="J34" s="8" t="str">
        <x:v>b8b60a8d4e44c6af28fbeb1a1c79cadfe24feb906095420d15f8767b9da43412</x:v>
      </x:c>
      <x:c r="K34" s="8" t="str">
        <x:v>1 PART I GENERAL REGULATIONS Introduction : These regulations will be affected within the Kalutara Urban Council area from ……… …………. 2004. Submission of Plans 1. All applications under Section 8J of the Law for the 1982 UDA (Amendment) Act No. 4 purpose of obtaining a development permit to engage in any development activity shall be made to the Aut</x:v>
      </x:c>
      <x:c r="L34" s="8" t="str">
        <x:v>Current legal applicability not established. Sinhala/Tamil and scanned pages need visual/OCR review.</x:v>
      </x:c>
      <x:c r="M34" s="8" t="str">
        <x:v>SRC_b8b60a8d4e44</x:v>
      </x:c>
    </x:row>
    <x:row r="35" ht="126" customHeight="1">
      <x:c r="A35" s="11" t="str">
        <x:v>SRC_0034</x:v>
      </x:c>
      <x:c r="B35" s="11" t="str">
        <x:v>Kalutara(1).zip::Kalutara/Kalutara_Schedules.pdf</x:v>
      </x:c>
      <x:c r="C35" s="11" t="str">
        <x:v>Kalutara(1).zip</x:v>
      </x:c>
      <x:c r="D35" s="11" t="str">
        <x:v>local_development_plan</x:v>
      </x:c>
      <x:c r="E35" s="22" t="n">
        <x:v>31</x:v>
      </x:c>
      <x:c r="F35" s="22" t="n">
        <x:v>37521</x:v>
      </x:c>
      <x:c r="G35" s="22" t="n">
        <x:v>5</x:v>
      </x:c>
      <x:c r="H35" s="11" t="str">
        <x:v>keyword_scan_only</x:v>
      </x:c>
      <x:c r="I35" s="11" t="str"/>
      <x:c r="J35" s="11" t="str">
        <x:v>0c7cc81bdc9710c570a139b4a81d6e5b547d8f385d0104cf680e685f3a945db3</x:v>
      </x:c>
      <x:c r="K35" s="11" t="str">
        <x:v>PART V SCHEDULES SCHEDULE (I) (Regulation 2) Form “A” APPLICATION FOR OBTAINING A DEVELOPMENT PERMIT FOR SUB – DIVISION OF LAND For Office Use only No. Processing fees paid : Receipt No. and Date : To : Chairman Urban Development Authority. Thro” Mayor/Chairman/Authorized Officer ………………… Municipal Council ………………… Urban Council ………………… Development C</x:v>
      </x:c>
      <x:c r="L35" s="11" t="str">
        <x:v>Current legal applicability not established. Sinhala/Tamil and scanned pages need visual/OCR review.</x:v>
      </x:c>
      <x:c r="M35" s="11" t="str">
        <x:v>SRC_0c7cc81bdc97</x:v>
      </x:c>
    </x:row>
    <x:row r="36" ht="126" customHeight="1">
      <x:c r="A36" s="8" t="str">
        <x:v>SRC_0035</x:v>
      </x:c>
      <x:c r="B36" s="8" t="str">
        <x:v>Kalutara.zip::Kalutara/Kalutara_1.pdf</x:v>
      </x:c>
      <x:c r="C36" s="8" t="str">
        <x:v>Kalutara.zip</x:v>
      </x:c>
      <x:c r="D36" s="8" t="str">
        <x:v>local_development_plan</x:v>
      </x:c>
      <x:c r="E36" s="18" t="n">
        <x:v>32</x:v>
      </x:c>
      <x:c r="F36" s="18" t="n">
        <x:v>58478</x:v>
      </x:c>
      <x:c r="G36" s="18" t="n">
        <x:v>0</x:v>
      </x:c>
      <x:c r="H36" s="8" t="str">
        <x:v>keyword_scan_only</x:v>
      </x:c>
      <x:c r="I36" s="8" t="str">
        <x:v>SRC_0032</x:v>
      </x:c>
      <x:c r="J36" s="8" t="str">
        <x:v>4f437f42fcd206b03f2c9abd2275735a67551da9e70326a49cdb15a06c1d8172</x:v>
      </x:c>
      <x:c r="K36" s="8" t="str">
        <x:v>1 1.0 Introduction Kalutara town is a coastal town located within the Kalutara Divisional Secretary’s Division in the Kalutara District in the Western Province. The annual temperature of this area is about 26o degrees centigrade and the average annual rainfall is between 2500 – 4000 mm. Kalutara town is situated 40 km. to the south of Colombo and S</x:v>
      </x:c>
      <x:c r="L36" s="8" t="str">
        <x:v>Current legal applicability not established. Sinhala/Tamil and scanned pages need visual/OCR review.</x:v>
      </x:c>
      <x:c r="M36" s="8" t="str">
        <x:v>SRC_4f437f42fcd2</x:v>
      </x:c>
    </x:row>
    <x:row r="37" ht="126" customHeight="1">
      <x:c r="A37" s="11" t="str">
        <x:v>SRC_0036</x:v>
      </x:c>
      <x:c r="B37" s="11" t="str">
        <x:v>Kalutara.zip::Kalutara/Kalutara_2.pdf</x:v>
      </x:c>
      <x:c r="C37" s="11" t="str">
        <x:v>Kalutara.zip</x:v>
      </x:c>
      <x:c r="D37" s="11" t="str">
        <x:v>local_development_plan</x:v>
      </x:c>
      <x:c r="E37" s="22" t="n">
        <x:v>29</x:v>
      </x:c>
      <x:c r="F37" s="22" t="n">
        <x:v>63824</x:v>
      </x:c>
      <x:c r="G37" s="22" t="n">
        <x:v>10</x:v>
      </x:c>
      <x:c r="H37" s="11" t="str">
        <x:v>keyword_scan_only</x:v>
      </x:c>
      <x:c r="I37" s="11" t="str">
        <x:v>SRC_0033</x:v>
      </x:c>
      <x:c r="J37" s="11" t="str">
        <x:v>b8b60a8d4e44c6af28fbeb1a1c79cadfe24feb906095420d15f8767b9da43412</x:v>
      </x:c>
      <x:c r="K37" s="11" t="str">
        <x:v>1 PART I GENERAL REGULATIONS Introduction : These regulations will be affected within the Kalutara Urban Council area from ……… …………. 2004. Submission of Plans 1. All applications under Section 8J of the Law for the 1982 UDA (Amendment) Act No. 4 purpose of obtaining a development permit to engage in any development activity shall be made to the Aut</x:v>
      </x:c>
      <x:c r="L37" s="11" t="str">
        <x:v>Current legal applicability not established. Sinhala/Tamil and scanned pages need visual/OCR review.</x:v>
      </x:c>
      <x:c r="M37" s="11" t="str">
        <x:v>SRC_b8b60a8d4e44</x:v>
      </x:c>
    </x:row>
    <x:row r="38" ht="126" customHeight="1">
      <x:c r="A38" s="8" t="str">
        <x:v>SRC_0037</x:v>
      </x:c>
      <x:c r="B38" s="8" t="str">
        <x:v>Kalutara.zip::Kalutara/Kalutara_Schedules.pdf</x:v>
      </x:c>
      <x:c r="C38" s="8" t="str">
        <x:v>Kalutara.zip</x:v>
      </x:c>
      <x:c r="D38" s="8" t="str">
        <x:v>local_development_plan</x:v>
      </x:c>
      <x:c r="E38" s="18" t="n">
        <x:v>31</x:v>
      </x:c>
      <x:c r="F38" s="18" t="n">
        <x:v>37521</x:v>
      </x:c>
      <x:c r="G38" s="18" t="n">
        <x:v>5</x:v>
      </x:c>
      <x:c r="H38" s="8" t="str">
        <x:v>keyword_scan_only</x:v>
      </x:c>
      <x:c r="I38" s="8" t="str">
        <x:v>SRC_0034</x:v>
      </x:c>
      <x:c r="J38" s="8" t="str">
        <x:v>0c7cc81bdc9710c570a139b4a81d6e5b547d8f385d0104cf680e685f3a945db3</x:v>
      </x:c>
      <x:c r="K38" s="8" t="str">
        <x:v>PART V SCHEDULES SCHEDULE (I) (Regulation 2) Form “A” APPLICATION FOR OBTAINING A DEVELOPMENT PERMIT FOR SUB – DIVISION OF LAND For Office Use only No. Processing fees paid : Receipt No. and Date : To : Chairman Urban Development Authority. Thro” Mayor/Chairman/Authorized Officer ………………… Municipal Council ………………… Urban Council ………………… Development C</x:v>
      </x:c>
      <x:c r="L38" s="8" t="str">
        <x:v>Current legal applicability not established. Sinhala/Tamil and scanned pages need visual/OCR review.</x:v>
      </x:c>
      <x:c r="M38" s="8" t="str">
        <x:v>SRC_0c7cc81bdc97</x:v>
      </x:c>
    </x:row>
    <x:row r="39" ht="70" customHeight="1">
      <x:c r="A39" s="11" t="str">
        <x:v>SRC_0038</x:v>
      </x:c>
      <x:c r="B39" s="11" t="str">
        <x:v>Kandy.zip::Kandy/DP_KMC_V2-(corrected).pdf</x:v>
      </x:c>
      <x:c r="C39" s="11" t="str">
        <x:v>Kandy.zip</x:v>
      </x:c>
      <x:c r="D39" s="11" t="str">
        <x:v>local_development_plan</x:v>
      </x:c>
      <x:c r="E39" s="22" t="n">
        <x:v>84</x:v>
      </x:c>
      <x:c r="F39" s="22" t="n">
        <x:v>0</x:v>
      </x:c>
      <x:c r="G39" s="22" t="n">
        <x:v>0</x:v>
      </x:c>
      <x:c r="H39" s="11" t="str">
        <x:v>keyword_scan_only</x:v>
      </x:c>
      <x:c r="I39" s="11" t="str"/>
      <x:c r="J39" s="11" t="str">
        <x:v>4face94b8232c0ab11de32fcb71baf4c117eab51869a428d689265e0b8bcb4c9</x:v>
      </x:c>
      <x:c r="K39" s="11" t="str">
        <x:v>   </x:v>
      </x:c>
      <x:c r="L39" s="11" t="str">
        <x:v>Current legal applicability not established. Sinhala/Tamil and scanned pages need visual/OCR review.</x:v>
      </x:c>
      <x:c r="M39" s="11" t="str">
        <x:v>SRC_4face94b8232</x:v>
      </x:c>
    </x:row>
    <x:row r="40" ht="70" customHeight="1">
      <x:c r="A40" s="8" t="str">
        <x:v>SRC_0039</x:v>
      </x:c>
      <x:c r="B40" s="8" t="str">
        <x:v>Kandy.zip::Kandy/gazette_kandy.pdf</x:v>
      </x:c>
      <x:c r="C40" s="8" t="str">
        <x:v>Kandy.zip</x:v>
      </x:c>
      <x:c r="D40" s="8" t="str">
        <x:v>local_development_plan</x:v>
      </x:c>
      <x:c r="E40" s="18" t="n">
        <x:v>2</x:v>
      </x:c>
      <x:c r="F40" s="18" t="n">
        <x:v>0</x:v>
      </x:c>
      <x:c r="G40" s="18" t="n">
        <x:v>0</x:v>
      </x:c>
      <x:c r="H40" s="8" t="str">
        <x:v>keyword_scan_only</x:v>
      </x:c>
      <x:c r="I40" s="8" t="str"/>
      <x:c r="J40" s="8" t="str">
        <x:v>84c4c90b0aaad715039d3c81a259be37d94c02eaf837d506dc25853dfe78b35a</x:v>
      </x:c>
      <x:c r="K40" s="8" t="str">
        <x:v>  </x:v>
      </x:c>
      <x:c r="L40" s="8" t="str">
        <x:v>Current legal applicability not established. Sinhala/Tamil and scanned pages need visual/OCR review.</x:v>
      </x:c>
      <x:c r="M40" s="8" t="str">
        <x:v>SRC_84c4c90b0aaa</x:v>
      </x:c>
    </x:row>
    <x:row r="41" ht="84" customHeight="1">
      <x:c r="A41" s="11" t="str">
        <x:v>SRC_0040</x:v>
      </x:c>
      <x:c r="B41" s="11" t="str">
        <x:v>KandyDevelopmentPlan-English.pdf</x:v>
      </x:c>
      <x:c r="C41" s="11" t="str"/>
      <x:c r="D41" s="11" t="str">
        <x:v>local_development_plan</x:v>
      </x:c>
      <x:c r="E41" s="22" t="n">
        <x:v>123</x:v>
      </x:c>
      <x:c r="F41" s="22" t="n">
        <x:v>318471</x:v>
      </x:c>
      <x:c r="G41" s="22" t="n">
        <x:v>1</x:v>
      </x:c>
      <x:c r="H41" s="11" t="str">
        <x:v>keyword_scan_only</x:v>
      </x:c>
      <x:c r="I41" s="11" t="str"/>
      <x:c r="J41" s="11" t="str">
        <x:v>a425924c1b69598f58deab384cb26a858535348df4beaef8cb56882cd704a865</x:v>
      </x:c>
      <x:c r="K41" s="11" t="str">
        <x:v>GKUP 2026-2035 GREATER KANDY URBAN PLAN 2026 - 2035 GKUP 2026-2035 GKUP 2026-2035 Prepared by Urban Development Authority Ministry of Transport, Highways and Urban Development 2026 Greater Kandy Urban Plan 2026 - 2035 </x:v>
      </x:c>
      <x:c r="L41" s="11" t="str">
        <x:v>Current legal applicability not established. Sinhala/Tamil and scanned pages need visual/OCR review.</x:v>
      </x:c>
      <x:c r="M41" s="11" t="str">
        <x:v>SRC_a425924c1b69</x:v>
      </x:c>
    </x:row>
    <x:row r="42" ht="126" customHeight="1">
      <x:c r="A42" s="8" t="str">
        <x:v>SRC_0041</x:v>
      </x:c>
      <x:c r="B42" s="8" t="str">
        <x:v>Kanthale Development Plan - English.pdf</x:v>
      </x:c>
      <x:c r="C42" s="8" t="str"/>
      <x:c r="D42" s="8" t="str">
        <x:v>local_development_plan</x:v>
      </x:c>
      <x:c r="E42" s="18" t="n">
        <x:v>388</x:v>
      </x:c>
      <x:c r="F42" s="18" t="n">
        <x:v>460371</x:v>
      </x:c>
      <x:c r="G42" s="18" t="n">
        <x:v>6</x:v>
      </x:c>
      <x:c r="H42" s="8" t="str">
        <x:v>keyword_scan_only</x:v>
      </x:c>
      <x:c r="I42" s="8" t="str"/>
      <x:c r="J42" s="8" t="str">
        <x:v>288998c7421f383f57f12e8ec84606c7c5d1a9185879acc0669fe0d775717257</x:v>
      </x:c>
      <x:c r="K42" s="8" t="str">
        <x:v>1 Kanthale Development Plan (2022-2031) Urban Development Authority Urban Development Authority Ministry of urban Development and Housing 2 Kanthale Development Plan (2022-2031) Urban Development Authority Kanthale Development Plan 2022 - 2031 Urban Development Authority Ministry of Urban Development and Housing I Kanthale Development Plan (2022-20</x:v>
      </x:c>
      <x:c r="L42" s="8" t="str">
        <x:v>Current legal applicability not established. Sinhala/Tamil and scanned pages need visual/OCR review.</x:v>
      </x:c>
      <x:c r="M42" s="8" t="str">
        <x:v>SRC_288998c7421f</x:v>
      </x:c>
    </x:row>
    <x:row r="43" ht="70" customHeight="1">
      <x:c r="A43" s="11" t="str">
        <x:v>SRC_0042</x:v>
      </x:c>
      <x:c r="B43" s="11" t="str">
        <x:v>Kataragama Development Plan - English.pdf</x:v>
      </x:c>
      <x:c r="C43" s="11" t="str"/>
      <x:c r="D43" s="11" t="str">
        <x:v>local_development_plan</x:v>
      </x:c>
      <x:c r="E43" s="22" t="n">
        <x:v>361</x:v>
      </x:c>
      <x:c r="F43" s="22" t="n">
        <x:v>417335</x:v>
      </x:c>
      <x:c r="G43" s="22" t="n">
        <x:v>4</x:v>
      </x:c>
      <x:c r="H43" s="11" t="str">
        <x:v>keyword_scan_only</x:v>
      </x:c>
      <x:c r="I43" s="11" t="str"/>
      <x:c r="J43" s="11" t="str">
        <x:v>cbe632c21d05885e0970820bbf636e13d1538bb9d583441f4bd1e8edee6c0164</x:v>
      </x:c>
      <x:c r="K43" s="11" t="str">
        <x:v>  URBAN DEVELOPMENT AUTHORITY 2021-2030 KATARAGAMA DEVELOPMENT PLAN </x:v>
      </x:c>
      <x:c r="L43" s="11" t="str">
        <x:v>Current legal applicability not established. Sinhala/Tamil and scanned pages need visual/OCR review.</x:v>
      </x:c>
      <x:c r="M43" s="11" t="str">
        <x:v>SRC_cbe632c21d05</x:v>
      </x:c>
    </x:row>
    <x:row r="44" ht="70" customHeight="1">
      <x:c r="A44" s="8" t="str">
        <x:v>SRC_0043</x:v>
      </x:c>
      <x:c r="B44" s="8" t="str">
        <x:v>KegalleS20260311.pdf</x:v>
      </x:c>
      <x:c r="C44" s="8" t="str"/>
      <x:c r="D44" s="8" t="str">
        <x:v>local_development_plan</x:v>
      </x:c>
      <x:c r="E44" s="18" t="n">
        <x:v>294</x:v>
      </x:c>
      <x:c r="F44" s="18" t="n">
        <x:v>384382</x:v>
      </x:c>
      <x:c r="G44" s="18" t="n">
        <x:v>0</x:v>
      </x:c>
      <x:c r="H44" s="8" t="str">
        <x:v>keyword_scan_only</x:v>
      </x:c>
      <x:c r="I44" s="8" t="str"/>
      <x:c r="J44" s="8" t="str">
        <x:v>bd6898bff7b2a97cdc5bcc2b08dc8f3e4ed9bf72b5c32dbe536c4b791d39d285</x:v>
      </x:c>
      <x:c r="K44" s="8" t="str">
        <x:v> ii iii කෑගල්ල සංවර්ධන සැලැස්ම 2024 – 2034 නාගරික සංවර්ධන අධිකාරිය නාගරික සංවර්ධන, ඉදිකිරීම් හා නිවාස අමාත්‍ාංශය </x:v>
      </x:c>
      <x:c r="L44" s="8" t="str">
        <x:v>Current legal applicability not established. Sinhala/Tamil and scanned pages need visual/OCR review.</x:v>
      </x:c>
      <x:c r="M44" s="8" t="str">
        <x:v>SRC_bd6898bff7b2</x:v>
      </x:c>
    </x:row>
    <x:row r="45" ht="126" customHeight="1">
      <x:c r="A45" s="11" t="str">
        <x:v>SRC_0044</x:v>
      </x:c>
      <x:c r="B45" s="11" t="str">
        <x:v>Kekirawa_S_20240912.pdf</x:v>
      </x:c>
      <x:c r="C45" s="11" t="str"/>
      <x:c r="D45" s="11" t="str">
        <x:v>local_development_plan</x:v>
      </x:c>
      <x:c r="E45" s="22" t="n">
        <x:v>329</x:v>
      </x:c>
      <x:c r="F45" s="22" t="n">
        <x:v>416578</x:v>
      </x:c>
      <x:c r="G45" s="22" t="n">
        <x:v>0</x:v>
      </x:c>
      <x:c r="H45" s="11" t="str">
        <x:v>keyword_scan_only</x:v>
      </x:c>
      <x:c r="I45" s="11" t="str"/>
      <x:c r="J45" s="11" t="str">
        <x:v>c1123d3cba293cb73232607443f3fb5d7b757b33a6324fa41ee318de526c8d51</x:v>
      </x:c>
      <x:c r="K45" s="11" t="str">
        <x:v>නාගරික සංවර්ධන අධිකාරිය නාගරික සංවර්ධන හා නිවාස අමාත්‍ාංශය කැකිරාව නගර සංවර්ධන සැලැස්ම 2023-2033 නාගරික සංවර්ධන අධිකාරිය 2023 කැකිරාව සංවර්ධන සැලැස්ම 2023 – 2033 නාගරික සංවර්ධන අධිකාරිය - ශ්‍රී ලංකාව සියඵම හිමිකම් ඇවරිණි. මමම ප්‍රකායය නාගරික සංවර්ධන අධිකාරිය ිසසි් ප්‍රකායය ත් මකමර්. මමම ප්‍රකායය සම්පූරර්ණයමය් ම ම මකා ස් මමම අධිකාරිමේ පූරර්ව අනුමැති</x:v>
      </x:c>
      <x:c r="L45" s="11" t="str">
        <x:v>Current legal applicability not established. Sinhala/Tamil and scanned pages need visual/OCR review.</x:v>
      </x:c>
      <x:c r="M45" s="11" t="str">
        <x:v>SRC_c1123d3cba29</x:v>
      </x:c>
    </x:row>
    <x:row r="46" ht="112" customHeight="1">
      <x:c r="A46" s="8" t="str">
        <x:v>SRC_0045</x:v>
      </x:c>
      <x:c r="B46" s="8" t="str">
        <x:v>Killinochchienglish240619.pdf</x:v>
      </x:c>
      <x:c r="C46" s="8" t="str"/>
      <x:c r="D46" s="8" t="str">
        <x:v>local_development_plan</x:v>
      </x:c>
      <x:c r="E46" s="18" t="n">
        <x:v>297</x:v>
      </x:c>
      <x:c r="F46" s="18" t="n">
        <x:v>363392</x:v>
      </x:c>
      <x:c r="G46" s="18" t="n">
        <x:v>15</x:v>
      </x:c>
      <x:c r="H46" s="8" t="str">
        <x:v>keyword_scan_only</x:v>
      </x:c>
      <x:c r="I46" s="8" t="str"/>
      <x:c r="J46" s="8" t="str">
        <x:v>2c56f2148a0636096004faf63cee8c9dde62b6da376f74d022686e2dc13ae723</x:v>
      </x:c>
      <x:c r="K46" s="8" t="str">
        <x:v>Urban Development Authority Ministry of Urban Development &amp; Housing KILINOCHCHI DEVELOPMENT PLAN (Part of Pradeshiya Sabha limits of Karaichchi) 2023 – 2033 2 3 KILINOCHCHI DEVELOPMENT PLAN (Part of Pradeshiya Sabha limits of Karaichchi) 2023 – 2033 “The spine of norThern” Urban Development Authority Ministry of Urban Development &amp; Housing </x:v>
      </x:c>
      <x:c r="L46" s="8" t="str">
        <x:v>Current legal applicability not established. Sinhala/Tamil and scanned pages need visual/OCR review.</x:v>
      </x:c>
      <x:c r="M46" s="8" t="str">
        <x:v>SRC_2c56f2148a06</x:v>
      </x:c>
    </x:row>
    <x:row r="47" ht="70" customHeight="1">
      <x:c r="A47" s="11" t="str">
        <x:v>SRC_0046</x:v>
      </x:c>
      <x:c r="B47" s="11" t="str">
        <x:v>Kolonnawa.pdf</x:v>
      </x:c>
      <x:c r="C47" s="11" t="str"/>
      <x:c r="D47" s="11" t="str">
        <x:v>single_page_needs_visual_review</x:v>
      </x:c>
      <x:c r="E47" s="22" t="n">
        <x:v>1</x:v>
      </x:c>
      <x:c r="F47" s="22" t="n">
        <x:v>0</x:v>
      </x:c>
      <x:c r="G47" s="22" t="n">
        <x:v>0</x:v>
      </x:c>
      <x:c r="H47" s="11" t="str">
        <x:v>keyword_scan_only</x:v>
      </x:c>
      <x:c r="I47" s="11" t="str"/>
      <x:c r="J47" s="11" t="str">
        <x:v>857b0ecbf1e08f8d329f504c446b02e20c24f37c2e174efe05d0682d793b7277</x:v>
      </x:c>
      <x:c r="K47" s="11" t="str">
        <x:v> </x:v>
      </x:c>
      <x:c r="L47" s="11" t="str">
        <x:v>Current legal applicability not established. Sinhala/Tamil and scanned pages need visual/OCR review.</x:v>
      </x:c>
      <x:c r="M47" s="11" t="str">
        <x:v>SRC_857b0ecbf1e0</x:v>
      </x:c>
    </x:row>
    <x:row r="48" ht="70" customHeight="1">
      <x:c r="A48" s="8" t="str">
        <x:v>SRC_0047</x:v>
      </x:c>
      <x:c r="B48" s="8" t="str">
        <x:v>Kotikawatta- Mulleriyawa.pdf</x:v>
      </x:c>
      <x:c r="C48" s="8" t="str"/>
      <x:c r="D48" s="8" t="str">
        <x:v>single_page_needs_visual_review</x:v>
      </x:c>
      <x:c r="E48" s="18" t="n">
        <x:v>1</x:v>
      </x:c>
      <x:c r="F48" s="18" t="n">
        <x:v>0</x:v>
      </x:c>
      <x:c r="G48" s="18" t="n">
        <x:v>0</x:v>
      </x:c>
      <x:c r="H48" s="8" t="str">
        <x:v>keyword_scan_only</x:v>
      </x:c>
      <x:c r="I48" s="8" t="str"/>
      <x:c r="J48" s="8" t="str">
        <x:v>909939826f9001c890f1e58ada796087f7a10c422eb925606e270e8e1cc2b05f</x:v>
      </x:c>
      <x:c r="K48" s="8" t="str">
        <x:v> </x:v>
      </x:c>
      <x:c r="L48" s="8" t="str">
        <x:v>Current legal applicability not established. Sinhala/Tamil and scanned pages need visual/OCR review.</x:v>
      </x:c>
      <x:c r="M48" s="8" t="str">
        <x:v>SRC_909939826f90</x:v>
      </x:c>
    </x:row>
    <x:row r="49" ht="70" customHeight="1">
      <x:c r="A49" s="11" t="str">
        <x:v>SRC_0048</x:v>
      </x:c>
      <x:c r="B49" s="11" t="str">
        <x:v>Kuliyapitiya Development plan 2023-2033 - English Report 2024.07.04.pdf</x:v>
      </x:c>
      <x:c r="C49" s="11" t="str"/>
      <x:c r="D49" s="11" t="str">
        <x:v>local_development_plan</x:v>
      </x:c>
      <x:c r="E49" s="22" t="n">
        <x:v>360</x:v>
      </x:c>
      <x:c r="F49" s="22" t="n">
        <x:v>416050</x:v>
      </x:c>
      <x:c r="G49" s="22" t="n">
        <x:v>3</x:v>
      </x:c>
      <x:c r="H49" s="11" t="str">
        <x:v>keyword_scan_only</x:v>
      </x:c>
      <x:c r="I49" s="11" t="str"/>
      <x:c r="J49" s="11" t="str">
        <x:v>6763ac2693737ed9c57f8d96d4aac01f3d4f96590d0a8391e5be49b4c2b79182</x:v>
      </x:c>
      <x:c r="K49" s="11" t="str">
        <x:v>  KULIYAPITIYA DEVELOPMENT PLAN (2023 - 2033) URBAN DEVELOPMENT AUTHORITY MINISTRY OF URBAN DEVELOPMENT AND HOUSING </x:v>
      </x:c>
      <x:c r="L49" s="11" t="str">
        <x:v>Current legal applicability not established. Sinhala/Tamil and scanned pages need visual/OCR review.</x:v>
      </x:c>
      <x:c r="M49" s="11" t="str">
        <x:v>SRC_6763ac269373</x:v>
      </x:c>
    </x:row>
    <x:row r="50" ht="84" customHeight="1">
      <x:c r="A50" s="8" t="str">
        <x:v>SRC_0049</x:v>
      </x:c>
      <x:c r="B50" s="8" t="str">
        <x:v>Kuruwita_Dev_Plan_E.pdf</x:v>
      </x:c>
      <x:c r="C50" s="8" t="str"/>
      <x:c r="D50" s="8" t="str">
        <x:v>local_development_plan</x:v>
      </x:c>
      <x:c r="E50" s="18" t="n">
        <x:v>398</x:v>
      </x:c>
      <x:c r="F50" s="18" t="n">
        <x:v>428684</x:v>
      </x:c>
      <x:c r="G50" s="18" t="n">
        <x:v>16</x:v>
      </x:c>
      <x:c r="H50" s="8" t="str">
        <x:v>keyword_scan_only</x:v>
      </x:c>
      <x:c r="I50" s="8" t="str"/>
      <x:c r="J50" s="8" t="str">
        <x:v>34ed1208e406f27fefa5bb73d2ab456388f40795e25a7dd04704c6ec22485894</x:v>
      </x:c>
      <x:c r="K50" s="8" t="str">
        <x:v> Kuruwita Development Plan 2023 - 2033 Urban Development Authority KURUWITA DEVELOPMENT PLAN 2023 – 2033 “SUSADI SHELTER IN SIRIPA VALLEY” URBAN DEVELOPMENT AUTHORITY MINISTRY OF URBAN DEVELOPMENT AND HOUSING </x:v>
      </x:c>
      <x:c r="L50" s="8" t="str">
        <x:v>Current legal applicability not established. Sinhala/Tamil and scanned pages need visual/OCR review.</x:v>
      </x:c>
      <x:c r="M50" s="8" t="str">
        <x:v>SRC_34ed1208e406</x:v>
      </x:c>
    </x:row>
    <x:row r="51" ht="70" customHeight="1">
      <x:c r="A51" s="11" t="str">
        <x:v>SRC_0050</x:v>
      </x:c>
      <x:c r="B51" s="11" t="str">
        <x:v>Maharagama.zip::Maharagama/Maharagama_Gazette.pdf</x:v>
      </x:c>
      <x:c r="C51" s="11" t="str">
        <x:v>Maharagama.zip</x:v>
      </x:c>
      <x:c r="D51" s="11" t="str">
        <x:v>single_page_needs_visual_review</x:v>
      </x:c>
      <x:c r="E51" s="22" t="n">
        <x:v>1</x:v>
      </x:c>
      <x:c r="F51" s="22" t="n">
        <x:v>0</x:v>
      </x:c>
      <x:c r="G51" s="22" t="n">
        <x:v>0</x:v>
      </x:c>
      <x:c r="H51" s="11" t="str">
        <x:v>keyword_scan_only</x:v>
      </x:c>
      <x:c r="I51" s="11" t="str"/>
      <x:c r="J51" s="11" t="str">
        <x:v>89753b5cae8a7f38a7803a669a7725848214b094c65080d966690c2a0dc0d0c7</x:v>
      </x:c>
      <x:c r="K51" s="11" t="str">
        <x:v> </x:v>
      </x:c>
      <x:c r="L51" s="11" t="str">
        <x:v>Current legal applicability not established. Sinhala/Tamil and scanned pages need visual/OCR review.</x:v>
      </x:c>
      <x:c r="M51" s="11" t="str">
        <x:v>SRC_89753b5cae8a</x:v>
      </x:c>
    </x:row>
    <x:row r="52" ht="126" customHeight="1">
      <x:c r="A52" s="8" t="str">
        <x:v>SRC_0051</x:v>
      </x:c>
      <x:c r="B52" s="8" t="str">
        <x:v>Maharagama.zip::Maharagama/Maharagama_Regulations.pdf</x:v>
      </x:c>
      <x:c r="C52" s="8" t="str">
        <x:v>Maharagama.zip</x:v>
      </x:c>
      <x:c r="D52" s="8" t="str">
        <x:v>local_development_plan</x:v>
      </x:c>
      <x:c r="E52" s="18" t="n">
        <x:v>72</x:v>
      </x:c>
      <x:c r="F52" s="18" t="n">
        <x:v>130361</x:v>
      </x:c>
      <x:c r="G52" s="18" t="n">
        <x:v>9</x:v>
      </x:c>
      <x:c r="H52" s="8" t="str">
        <x:v>keyword_scan_only</x:v>
      </x:c>
      <x:c r="I52" s="8" t="str"/>
      <x:c r="J52" s="8" t="str">
        <x:v>16c9248eb7bccdd5f47a5ab5a117910b5910ff6e5b296e2e2b9537b0ab89a20f</x:v>
      </x:c>
      <x:c r="K52" s="8" t="str">
        <x:v>PART II ZONING REGULATIONS 9.0 Zoning Regulations 9.1 Scope These regulations are applicable for the entire area, which have been declared as an urban development area under the section 3(1) of the Urban Development Authority Act No.41 of 1978, which has been amended several times, within the administrative limits of the Maharagama Urban Council. 9</x:v>
      </x:c>
      <x:c r="L52" s="8" t="str">
        <x:v>Current legal applicability not established. Sinhala/Tamil and scanned pages need visual/OCR review.</x:v>
      </x:c>
      <x:c r="M52" s="8" t="str">
        <x:v>SRC_16c9248eb7bc</x:v>
      </x:c>
    </x:row>
    <x:row r="53" ht="126" customHeight="1">
      <x:c r="A53" s="11" t="str">
        <x:v>SRC_0052</x:v>
      </x:c>
      <x:c r="B53" s="11" t="str">
        <x:v>Maharagama.zip::Maharagama/Maharagama_Schedules.pdf</x:v>
      </x:c>
      <x:c r="C53" s="11" t="str">
        <x:v>Maharagama.zip</x:v>
      </x:c>
      <x:c r="D53" s="11" t="str">
        <x:v>local_development_plan</x:v>
      </x:c>
      <x:c r="E53" s="22" t="n">
        <x:v>31</x:v>
      </x:c>
      <x:c r="F53" s="22" t="n">
        <x:v>30710</x:v>
      </x:c>
      <x:c r="G53" s="22" t="n">
        <x:v>5</x:v>
      </x:c>
      <x:c r="H53" s="11" t="str">
        <x:v>keyword_scan_only</x:v>
      </x:c>
      <x:c r="I53" s="11" t="str"/>
      <x:c r="J53" s="11" t="str">
        <x:v>699110b073a3479306fd0740e48be58e8b210f1a0177101851d3b1b29b1e76e2</x:v>
      </x:c>
      <x:c r="K53" s="11" t="str">
        <x:v>PART-VIII SCHEDULES SCHEDULE 1 (As per Regulation -1) FORM “A” APPLICATION FOR OBTAINING DEVELOPMENT PERMIT FOR SUB DIVISIONS OF LAND For Office use only No: ……………… Processing fee paid ………………. Receipt no: ……………… Date: ………………. Chairman, Urban Development Authority Through, Mayor/ Authorized Officer Maharagama Urban Council Sir, I/We hereby apply for</x:v>
      </x:c>
      <x:c r="L53" s="11" t="str">
        <x:v>Current legal applicability not established. Sinhala/Tamil and scanned pages need visual/OCR review.</x:v>
      </x:c>
      <x:c r="M53" s="11" t="str">
        <x:v>SRC_699110b073a3</x:v>
      </x:c>
    </x:row>
    <x:row r="54" ht="126" customHeight="1">
      <x:c r="A54" s="8" t="str">
        <x:v>SRC_0053</x:v>
      </x:c>
      <x:c r="B54" s="8" t="str">
        <x:v>Maharagama.zip::Maharagama/Maharagama_Volume I.pdf</x:v>
      </x:c>
      <x:c r="C54" s="8" t="str">
        <x:v>Maharagama.zip</x:v>
      </x:c>
      <x:c r="D54" s="8" t="str">
        <x:v>local_development_plan</x:v>
      </x:c>
      <x:c r="E54" s="18" t="n">
        <x:v>54</x:v>
      </x:c>
      <x:c r="F54" s="18" t="n">
        <x:v>72575</x:v>
      </x:c>
      <x:c r="G54" s="18" t="n">
        <x:v>0</x:v>
      </x:c>
      <x:c r="H54" s="8" t="str">
        <x:v>keyword_scan_only</x:v>
      </x:c>
      <x:c r="I54" s="8" t="str"/>
      <x:c r="J54" s="8" t="str">
        <x:v>54d64a8726bc2c9f53b2d45315c8b1152dfeedc43d2e415b23156351042427e6</x:v>
      </x:c>
      <x:c r="K54" s="8" t="str">
        <x:v>1 1.0 Introduction Urban Development Area of Maharagama is situated 16 kilometers away towards Southeast of the city of Colombo. Both population wise and physical development wise Maharagama is a high growth area. As it is centered among developed towns like Dehiwala, Kotte, Nugegoda and Piliyandala it has very high development potential. The high </x:v>
      </x:c>
      <x:c r="L54" s="8" t="str">
        <x:v>Current legal applicability not established. Sinhala/Tamil and scanned pages need visual/OCR review.</x:v>
      </x:c>
      <x:c r="M54" s="8" t="str">
        <x:v>SRC_54d64a8726bc</x:v>
      </x:c>
    </x:row>
    <x:row r="55" ht="126" customHeight="1">
      <x:c r="A55" s="11" t="str">
        <x:v>SRC_0054</x:v>
      </x:c>
      <x:c r="B55" s="11" t="str">
        <x:v>Maharagama.zip::Maharagama/Maharagama_Volume II.pdf</x:v>
      </x:c>
      <x:c r="C55" s="11" t="str">
        <x:v>Maharagama.zip</x:v>
      </x:c>
      <x:c r="D55" s="11" t="str">
        <x:v>local_development_plan</x:v>
      </x:c>
      <x:c r="E55" s="22" t="n">
        <x:v>68</x:v>
      </x:c>
      <x:c r="F55" s="22" t="n">
        <x:v>117474</x:v>
      </x:c>
      <x:c r="G55" s="22" t="n">
        <x:v>23</x:v>
      </x:c>
      <x:c r="H55" s="11" t="str">
        <x:v>keyword_scan_only</x:v>
      </x:c>
      <x:c r="I55" s="11" t="str"/>
      <x:c r="J55" s="11" t="str">
        <x:v>70b5f4f133280b6f5112068cb7b330a515d6feecd3f5298dbb5f852256c4d0b9</x:v>
      </x:c>
      <x:c r="K55" s="11" t="str">
        <x:v>1 Citation and Commencement Submission of Plan for approval Preliminaries 1. These Regulations may be cited as the Planning and Building Regulations 1999 approved under section 8F of Urban Development Authority Law and shall come into operation on the 29th day of July, 1999. Part I Submission of Plaor Approval of Land Parcelling or Su-Division and </x:v>
      </x:c>
      <x:c r="L55" s="11" t="str">
        <x:v>Current legal applicability not established. Sinhala/Tamil and scanned pages need visual/OCR review.</x:v>
      </x:c>
      <x:c r="M55" s="11" t="str">
        <x:v>SRC_70b5f4f13328</x:v>
      </x:c>
    </x:row>
    <x:row r="56" ht="112" customHeight="1">
      <x:c r="A56" s="8" t="str">
        <x:v>SRC_0055</x:v>
      </x:c>
      <x:c r="B56" s="8" t="str">
        <x:v>Maharagama_Development_Plan_eng.pdf</x:v>
      </x:c>
      <x:c r="C56" s="8" t="str"/>
      <x:c r="D56" s="8" t="str">
        <x:v>local_development_plan</x:v>
      </x:c>
      <x:c r="E56" s="18" t="n">
        <x:v>568</x:v>
      </x:c>
      <x:c r="F56" s="18" t="n">
        <x:v>1083971</x:v>
      </x:c>
      <x:c r="G56" s="18" t="n">
        <x:v>4</x:v>
      </x:c>
      <x:c r="H56" s="8" t="str">
        <x:v>keyword_scan_only</x:v>
      </x:c>
      <x:c r="I56" s="8" t="str"/>
      <x:c r="J56" s="8" t="str">
        <x:v>e480ad2ffcf4ff08635a322e800703cc0fc191757b0fbe9cde12c0c7313a55f3</x:v>
      </x:c>
      <x:c r="K56" s="8" t="str">
        <x:v>"Smart Attire of Colombo" Urban Development Authority Ministry of Urban Development &amp; Housing Urban Council Area Development Plan 2022-2031 Maharagama  Maharagama Urban Council Area Development Plan 2022-2031 Urban Development Authority Ministry of Urban Development &amp; Housing zzSmart Attire of ColomboZZ </x:v>
      </x:c>
      <x:c r="L56" s="8" t="str">
        <x:v>Current legal applicability not established. Sinhala/Tamil and scanned pages need visual/OCR review.</x:v>
      </x:c>
      <x:c r="M56" s="8" t="str">
        <x:v>SRC_e480ad2ffcf4</x:v>
      </x:c>
    </x:row>
    <x:row r="57" ht="126" customHeight="1">
      <x:c r="A57" s="11" t="str">
        <x:v>SRC_0056</x:v>
      </x:c>
      <x:c r="B57" s="11" t="str">
        <x:v>MahiyanganayaEnglish.pdf</x:v>
      </x:c>
      <x:c r="C57" s="11" t="str"/>
      <x:c r="D57" s="11" t="str">
        <x:v>local_development_plan</x:v>
      </x:c>
      <x:c r="E57" s="22" t="n">
        <x:v>291</x:v>
      </x:c>
      <x:c r="F57" s="22" t="n">
        <x:v>406229</x:v>
      </x:c>
      <x:c r="G57" s="22" t="n">
        <x:v>12</x:v>
      </x:c>
      <x:c r="H57" s="11" t="str">
        <x:v>keyword_scan_only</x:v>
      </x:c>
      <x:c r="I57" s="11" t="str"/>
      <x:c r="J57" s="11" t="str">
        <x:v>e2cf7e3b3956ce070b3b1180d3708833cd8ba50406a3c1ce6fcf5d37e3144ee9</x:v>
      </x:c>
      <x:c r="K57" s="11" t="str">
        <x:v>i 6 Mahiyanagnaya Development Plan 2026-2036 Urban Development Authority Ministry of Transport, Highways &amp; Urban Development Mahiyanganaya Development Plan 2026-2036 ii Urban Development Authority- Sri Lanka 2026 All rights reserved. No part of this document may be reproduced or transmitted in any form or by any means, electronic or mechanical, inc</x:v>
      </x:c>
      <x:c r="L57" s="11" t="str">
        <x:v>Current legal applicability not established. Sinhala/Tamil and scanned pages need visual/OCR review.</x:v>
      </x:c>
      <x:c r="M57" s="11" t="str">
        <x:v>SRC_e2cf7e3b3956</x:v>
      </x:c>
    </x:row>
    <x:row r="58" ht="84" customHeight="1">
      <x:c r="A58" s="8" t="str">
        <x:v>SRC_0057</x:v>
      </x:c>
      <x:c r="B58" s="8" t="str">
        <x:v>Maho Development Plan - English.pdf</x:v>
      </x:c>
      <x:c r="C58" s="8" t="str"/>
      <x:c r="D58" s="8" t="str">
        <x:v>local_development_plan</x:v>
      </x:c>
      <x:c r="E58" s="18" t="n">
        <x:v>367</x:v>
      </x:c>
      <x:c r="F58" s="18" t="n">
        <x:v>290766</x:v>
      </x:c>
      <x:c r="G58" s="18" t="n">
        <x:v>2</x:v>
      </x:c>
      <x:c r="H58" s="8" t="str">
        <x:v>keyword_scan_only</x:v>
      </x:c>
      <x:c r="I58" s="8" t="str"/>
      <x:c r="J58" s="8" t="str">
        <x:v>4caad0e2db8b39af42717975f7f64c6158524ed232c2c7923076b18eb9f7796e</x:v>
      </x:c>
      <x:c r="K58" s="8" t="str">
        <x:v>Maho Development Plan Maho Development Plan 2021-2030 2021-2030 Urban Development Authority Ministry of Urban Development &amp; Housing  Ministry of Urban Development &amp; Housing Urban Development Authority Maho Development Plan 2021 - 2030 </x:v>
      </x:c>
      <x:c r="L58" s="8" t="str">
        <x:v>Current legal applicability not established. Sinhala/Tamil and scanned pages need visual/OCR review.</x:v>
      </x:c>
      <x:c r="M58" s="8" t="str">
        <x:v>SRC_4caad0e2db8b</x:v>
      </x:c>
    </x:row>
    <x:row r="59" ht="126" customHeight="1">
      <x:c r="A59" s="11" t="str">
        <x:v>SRC_0058</x:v>
      </x:c>
      <x:c r="B59" s="11" t="str">
        <x:v>MalimbadaPS.pdf</x:v>
      </x:c>
      <x:c r="C59" s="11" t="str"/>
      <x:c r="D59" s="11" t="str">
        <x:v>local_development_plan</x:v>
      </x:c>
      <x:c r="E59" s="22" t="n">
        <x:v>229</x:v>
      </x:c>
      <x:c r="F59" s="22" t="n">
        <x:v>273848</x:v>
      </x:c>
      <x:c r="G59" s="22" t="n">
        <x:v>0</x:v>
      </x:c>
      <x:c r="H59" s="11" t="str">
        <x:v>keyword_scan_only</x:v>
      </x:c>
      <x:c r="I59" s="11" t="str"/>
      <x:c r="J59" s="11" t="str">
        <x:v>6008a76616014025bfdd28261be29ad2e74d1eab4184c1fe6b7723edafd2df39</x:v>
      </x:c>
      <x:c r="K59" s="11" t="str">
        <x:v>විසල් මාතර සංවර්ධන සැලැස්ම 2023 – 2033 මාලිම්බඩ ප්‍රාදේශීය සභා බල ප්‍රදේශය 1 විසල් මාතර සංවර්ධන සැලැස්ම 2023 – 2033 මාලිම්බඩ ප්‍රාදේශීය සභා බල ප්‍රදේශය 2 විසල් මාතර සංවර්ධන සැලැස්ම 2023 – 2033 මාලිම්බඩ ප්‍රාදේශීය සභා බල ප්‍රදේශය නාගරික සංවර්ධන අධිකාරිය නාගරික සංවර්ධන, ඉදිකිරීම් සහ නිවාස අමාත‍ාංශය විසල් මාතර සංවර්ධන සැලැස්ම 2023 – 2033 මාලිම්බඩ ප්‍ර</x:v>
      </x:c>
      <x:c r="L59" s="11" t="str">
        <x:v>Current legal applicability not established. Sinhala/Tamil and scanned pages need visual/OCR review.</x:v>
      </x:c>
      <x:c r="M59" s="11" t="str">
        <x:v>SRC_6008a7661601</x:v>
      </x:c>
    </x:row>
    <x:row r="60" ht="70" customHeight="1">
      <x:c r="A60" s="8" t="str">
        <x:v>SRC_0059</x:v>
      </x:c>
      <x:c r="B60" s="8" t="str">
        <x:v>Mannar Development Plan - English.pdf</x:v>
      </x:c>
      <x:c r="C60" s="8" t="str"/>
      <x:c r="D60" s="8" t="str">
        <x:v>local_development_plan</x:v>
      </x:c>
      <x:c r="E60" s="18" t="n">
        <x:v>265</x:v>
      </x:c>
      <x:c r="F60" s="18" t="n">
        <x:v>351084</x:v>
      </x:c>
      <x:c r="G60" s="18" t="n">
        <x:v>20</x:v>
      </x:c>
      <x:c r="H60" s="8" t="str">
        <x:v>keyword_scan_only</x:v>
      </x:c>
      <x:c r="I60" s="8" t="str"/>
      <x:c r="J60" s="8" t="str">
        <x:v>796f94830386d8d59dc84628af65e8536645605d4a75e2fe2945b876bfb4e79c</x:v>
      </x:c>
      <x:c r="K60" s="8" t="str">
        <x:v>Mannar Development Plan 2021-2030   </x:v>
      </x:c>
      <x:c r="L60" s="8" t="str">
        <x:v>Current legal applicability not established. Sinhala/Tamil and scanned pages need visual/OCR review.</x:v>
      </x:c>
      <x:c r="M60" s="8" t="str">
        <x:v>SRC_796f94830386</x:v>
      </x:c>
    </x:row>
    <x:row r="61" ht="126" customHeight="1">
      <x:c r="A61" s="11" t="str">
        <x:v>SRC_0060</x:v>
      </x:c>
      <x:c r="B61" s="11" t="str">
        <x:v>MataraMC.pdf</x:v>
      </x:c>
      <x:c r="C61" s="11" t="str"/>
      <x:c r="D61" s="11" t="str">
        <x:v>local_development_plan</x:v>
      </x:c>
      <x:c r="E61" s="22" t="n">
        <x:v>276</x:v>
      </x:c>
      <x:c r="F61" s="22" t="n">
        <x:v>306909</x:v>
      </x:c>
      <x:c r="G61" s="22" t="n">
        <x:v>0</x:v>
      </x:c>
      <x:c r="H61" s="11" t="str">
        <x:v>keyword_scan_only</x:v>
      </x:c>
      <x:c r="I61" s="11" t="str"/>
      <x:c r="J61" s="11" t="str">
        <x:v>22df9ba6e764c0ae9cd10e172639041da81113ba6cc0325d90ed3d1605edb781</x:v>
      </x:c>
      <x:c r="K61" s="11" t="str">
        <x:v> ii විසල් මාතර සංවර්ධන සැලැස්ම 2023-2033 මාතර මහා නගර සභා බල ප්‍රදේශය විසල් මාතර සංවර්ධන සැලැස්ම 2023–2033 මාතර මහා නගර සභා බල ප්‍රදේශය නාගරික සංවර්ධන අධිකාරිය නාගරික සංවර්ධන, ඉදිකිරීම් හා නිවාස අමාත්‍යංශය iii විසල් මාතර සංවර්ධන සැලැස්ම 2023-2033 මාතර මහා නගර සභා බල ප්‍රදේශය මාතර මහා නගර සභා බල ප්‍රදේශය - සංවර්ධන සැලැස්ම (2023 – 2033) © නාගරික සංවර</x:v>
      </x:c>
      <x:c r="L61" s="11" t="str">
        <x:v>Current legal applicability not established. Sinhala/Tamil and scanned pages need visual/OCR review.</x:v>
      </x:c>
      <x:c r="M61" s="11" t="str">
        <x:v>SRC_22df9ba6e764</x:v>
      </x:c>
    </x:row>
    <x:row r="62" ht="126" customHeight="1">
      <x:c r="A62" s="8" t="str">
        <x:v>SRC_0061</x:v>
      </x:c>
      <x:c r="B62" s="8" t="str">
        <x:v>MataraPS.pdf</x:v>
      </x:c>
      <x:c r="C62" s="8" t="str"/>
      <x:c r="D62" s="8" t="str">
        <x:v>local_development_plan</x:v>
      </x:c>
      <x:c r="E62" s="18" t="n">
        <x:v>197</x:v>
      </x:c>
      <x:c r="F62" s="18" t="n">
        <x:v>239796</x:v>
      </x:c>
      <x:c r="G62" s="18" t="n">
        <x:v>0</x:v>
      </x:c>
      <x:c r="H62" s="8" t="str">
        <x:v>keyword_scan_only</x:v>
      </x:c>
      <x:c r="I62" s="8" t="str"/>
      <x:c r="J62" s="8" t="str">
        <x:v>d88f8bf5745657bbb1cbc19d611423397d1316b79c178a15d45d5a47a57a5ef5</x:v>
      </x:c>
      <x:c r="K62" s="8" t="str">
        <x:v>විසල් මාතර නාගරික ප්‍රදේශය මාතර ප්‍රාදේශීය සභා සංවර්ධන සැලැස්ම 2023-2033 I විසල් මාතර නාගරික ප්‍රදේශය මාතර ප්‍රාදේශීය සභා සංවර්ධන සැලැස්ම 2023-2033 II විසල් මාතර සංවර්ධන සැලැස්ම 2023-2033 මාතර ප්‍රාදේශීය සභා බල ප්‍රදේශය නාගරික සංවර්ධන අධිකාරිය නාගරික සංවර්ධන, ඉදිකිරීම් හා නිවාස අමාත‍ාංශය විසල් මාතර නාගරික ප්‍රදේශය මාතර ප්‍රාදේශීය සභා සංවර්ධන සැලැස්</x:v>
      </x:c>
      <x:c r="L62" s="8" t="str">
        <x:v>Current legal applicability not established. Sinhala/Tamil and scanned pages need visual/OCR review.</x:v>
      </x:c>
      <x:c r="M62" s="8" t="str">
        <x:v>SRC_d88f8bf57456</x:v>
      </x:c>
    </x:row>
    <x:row r="63" ht="126" customHeight="1">
      <x:c r="A63" s="11" t="str">
        <x:v>SRC_0062</x:v>
      </x:c>
      <x:c r="B63" s="11" t="str">
        <x:v>Mihinthalaya Development Plan - English.pdf</x:v>
      </x:c>
      <x:c r="C63" s="11" t="str"/>
      <x:c r="D63" s="11" t="str">
        <x:v>local_development_plan</x:v>
      </x:c>
      <x:c r="E63" s="22" t="n">
        <x:v>277</x:v>
      </x:c>
      <x:c r="F63" s="22" t="n">
        <x:v>298517</x:v>
      </x:c>
      <x:c r="G63" s="22" t="n">
        <x:v>9</x:v>
      </x:c>
      <x:c r="H63" s="11" t="str">
        <x:v>keyword_scan_only</x:v>
      </x:c>
      <x:c r="I63" s="11" t="str"/>
      <x:c r="J63" s="11" t="str">
        <x:v>931ce950fe42b0c703f45ab4df5ce591875b00addc83f1d097d8e5be40aba829</x:v>
      </x:c>
      <x:c r="K63" s="11" t="str">
        <x:v>Mihinthalaya Mihinthalaya Mihinthalaya Urban Development Plan Urban Development Plan Urban Development Plan Mihinthalaya Mihinthalaya Mihinthalaya Urban Development Plan Urban Development Plan Urban Development Plan Urban Development Authority Urban Development Authority Ministry of Urban Development and Housing Ministry of Urban Development and Ho</x:v>
      </x:c>
      <x:c r="L63" s="11" t="str">
        <x:v>Current legal applicability not established. Sinhala/Tamil and scanned pages need visual/OCR review.</x:v>
      </x:c>
      <x:c r="M63" s="11" t="str">
        <x:v>SRC_931ce950fe42</x:v>
      </x:c>
    </x:row>
    <x:row r="64" ht="126" customHeight="1">
      <x:c r="A64" s="8" t="str">
        <x:v>SRC_0063</x:v>
      </x:c>
      <x:c r="B64" s="8" t="str">
        <x:v>Monaragala_E_20240913.pdf</x:v>
      </x:c>
      <x:c r="C64" s="8" t="str"/>
      <x:c r="D64" s="8" t="str">
        <x:v>local_development_plan</x:v>
      </x:c>
      <x:c r="E64" s="18" t="n">
        <x:v>263</x:v>
      </x:c>
      <x:c r="F64" s="18" t="n">
        <x:v>345345</x:v>
      </x:c>
      <x:c r="G64" s="18" t="n">
        <x:v>15</x:v>
      </x:c>
      <x:c r="H64" s="8" t="str">
        <x:v>selected_pages_reviewed</x:v>
      </x:c>
      <x:c r="I64" s="8" t="str"/>
      <x:c r="J64" s="8" t="str">
        <x:v>0cb699e367e8e6c747d7da55c82ceddeaaf758eee90c16293c6ea23972d8093a</x:v>
      </x:c>
      <x:c r="K64" s="8" t="str">
        <x:v>Monaragala Urban Development Plan 2023 – 2033 0 | P a g e Monaragala Urban Development Plan 2023 – 2033 1 | P a g e Monaragala Development Plan 2023-2033 Urban Development Authority - Sri Lanka All rights reserved This statement is published by the Urban Development Authority. This statement , in whole or in part, may not be reproduced, sold, distr</x:v>
      </x:c>
      <x:c r="L64" s="8" t="str">
        <x:v>Current legal applicability not established. Sinhala/Tamil and scanned pages need visual/OCR review.</x:v>
      </x:c>
      <x:c r="M64" s="8" t="str">
        <x:v>SRC_0cb699e367e8</x:v>
      </x:c>
    </x:row>
    <x:row r="65" ht="70" customHeight="1">
      <x:c r="A65" s="11" t="str">
        <x:v>SRC_0064</x:v>
      </x:c>
      <x:c r="B65" s="11" t="str">
        <x:v>Moratuwa.zip::Moratuwa/Moratuwa_Gazette.pdf</x:v>
      </x:c>
      <x:c r="C65" s="11" t="str">
        <x:v>Moratuwa.zip</x:v>
      </x:c>
      <x:c r="D65" s="11" t="str">
        <x:v>local_development_plan</x:v>
      </x:c>
      <x:c r="E65" s="22" t="n">
        <x:v>2</x:v>
      </x:c>
      <x:c r="F65" s="22" t="n">
        <x:v>0</x:v>
      </x:c>
      <x:c r="G65" s="22" t="n">
        <x:v>0</x:v>
      </x:c>
      <x:c r="H65" s="11" t="str">
        <x:v>keyword_scan_only</x:v>
      </x:c>
      <x:c r="I65" s="11" t="str"/>
      <x:c r="J65" s="11" t="str">
        <x:v>64e9d67eec38c7a2cfda6253438bb1ee6a2fdf16ddb6909c5d08a138ac72767a</x:v>
      </x:c>
      <x:c r="K65" s="11" t="str">
        <x:v>  </x:v>
      </x:c>
      <x:c r="L65" s="11" t="str">
        <x:v>Current legal applicability not established. Sinhala/Tamil and scanned pages need visual/OCR review.</x:v>
      </x:c>
      <x:c r="M65" s="11" t="str">
        <x:v>SRC_64e9d67eec38</x:v>
      </x:c>
    </x:row>
    <x:row r="66" ht="126" customHeight="1">
      <x:c r="A66" s="8" t="str">
        <x:v>SRC_0065</x:v>
      </x:c>
      <x:c r="B66" s="8" t="str">
        <x:v>MoratuwaDevelopmentPlanEnglish.pdf</x:v>
      </x:c>
      <x:c r="C66" s="8" t="str"/>
      <x:c r="D66" s="8" t="str">
        <x:v>local_development_plan</x:v>
      </x:c>
      <x:c r="E66" s="18" t="n">
        <x:v>348</x:v>
      </x:c>
      <x:c r="F66" s="18" t="n">
        <x:v>441878</x:v>
      </x:c>
      <x:c r="G66" s="18" t="n">
        <x:v>6</x:v>
      </x:c>
      <x:c r="H66" s="8" t="str">
        <x:v>keyword_scan_only</x:v>
      </x:c>
      <x:c r="I66" s="8" t="str"/>
      <x:c r="J66" s="8" t="str">
        <x:v>6f9969a9bc7ee3be76f5355da20da579d1377e650696d1cd3cf8f716556a4c5f</x:v>
      </x:c>
      <x:c r="K66" s="8" t="str">
        <x:v>Moratuwa Development Plan 2021–2030 Urban Development Authority Ministry of Urban Development &amp; Housing II Moratuwa Development Plan 2021–2030 Urban Development Authority Moratuwa Development Plan 2021–2030 © UDA - Sri Lanka 2021 All Rights Reserved. This publication is published by the Urban Development Authority. Duplication, Trade, Distribution,</x:v>
      </x:c>
      <x:c r="L66" s="8" t="str">
        <x:v>Current legal applicability not established. Sinhala/Tamil and scanned pages need visual/OCR review.</x:v>
      </x:c>
      <x:c r="M66" s="8" t="str">
        <x:v>SRC_6f9969a9bc7e</x:v>
      </x:c>
    </x:row>
    <x:row r="67" ht="70" customHeight="1">
      <x:c r="A67" s="11" t="str">
        <x:v>SRC_0066</x:v>
      </x:c>
      <x:c r="B67" s="11" t="str">
        <x:v>Nawalapitiya_DP_E.pdf</x:v>
      </x:c>
      <x:c r="C67" s="11" t="str"/>
      <x:c r="D67" s="11" t="str">
        <x:v>local_development_plan</x:v>
      </x:c>
      <x:c r="E67" s="22" t="n">
        <x:v>218</x:v>
      </x:c>
      <x:c r="F67" s="22" t="n">
        <x:v>244078</x:v>
      </x:c>
      <x:c r="G67" s="22" t="n">
        <x:v>1</x:v>
      </x:c>
      <x:c r="H67" s="11" t="str">
        <x:v>keyword_scan_only</x:v>
      </x:c>
      <x:c r="I67" s="11" t="str"/>
      <x:c r="J67" s="11" t="str">
        <x:v>ca4a49fac4d78986e16be2da081977d5796930438bb28d07bcb0646d7a9f94f6</x:v>
      </x:c>
      <x:c r="K67" s="11" t="str">
        <x:v>1 2 3 NAWALAPITIYA URBAN AREA DEVELOPMENT PLAN 2024 -2034 Urban Development Authority Ministry of Urban Development, Construction and Housing </x:v>
      </x:c>
      <x:c r="L67" s="11" t="str">
        <x:v>Current legal applicability not established. Sinhala/Tamil and scanned pages need visual/OCR review.</x:v>
      </x:c>
      <x:c r="M67" s="11" t="str">
        <x:v>SRC_ca4a49fac4d7</x:v>
      </x:c>
    </x:row>
    <x:row r="68" ht="70" customHeight="1">
      <x:c r="A68" s="8" t="str">
        <x:v>SRC_0067</x:v>
      </x:c>
      <x:c r="B68" s="8" t="str">
        <x:v>Negombo.zip::Negombo/Negombo DP_1.pdf</x:v>
      </x:c>
      <x:c r="C68" s="8" t="str">
        <x:v>Negombo.zip</x:v>
      </x:c>
      <x:c r="D68" s="8" t="str">
        <x:v>local_development_plan</x:v>
      </x:c>
      <x:c r="E68" s="18" t="n">
        <x:v>14</x:v>
      </x:c>
      <x:c r="F68" s="18" t="n">
        <x:v>0</x:v>
      </x:c>
      <x:c r="G68" s="18" t="n">
        <x:v>0</x:v>
      </x:c>
      <x:c r="H68" s="8" t="str">
        <x:v>keyword_scan_only</x:v>
      </x:c>
      <x:c r="I68" s="8" t="str"/>
      <x:c r="J68" s="8" t="str">
        <x:v>a4558f3d1606b7b641c4229d081202708d404d101142ec68849a9ae4a98e362f</x:v>
      </x:c>
      <x:c r="K68" s="8" t="str">
        <x:v>   </x:v>
      </x:c>
      <x:c r="L68" s="8" t="str">
        <x:v>Current legal applicability not established. Sinhala/Tamil and scanned pages need visual/OCR review.</x:v>
      </x:c>
      <x:c r="M68" s="8" t="str">
        <x:v>SRC_a4558f3d1606</x:v>
      </x:c>
    </x:row>
    <x:row r="69" ht="70" customHeight="1">
      <x:c r="A69" s="11" t="str">
        <x:v>SRC_0068</x:v>
      </x:c>
      <x:c r="B69" s="11" t="str">
        <x:v>Negombo.zip::Negombo/Negombo DP_2.pdf</x:v>
      </x:c>
      <x:c r="C69" s="11" t="str">
        <x:v>Negombo.zip</x:v>
      </x:c>
      <x:c r="D69" s="11" t="str">
        <x:v>local_development_plan</x:v>
      </x:c>
      <x:c r="E69" s="22" t="n">
        <x:v>40</x:v>
      </x:c>
      <x:c r="F69" s="22" t="n">
        <x:v>0</x:v>
      </x:c>
      <x:c r="G69" s="22" t="n">
        <x:v>0</x:v>
      </x:c>
      <x:c r="H69" s="11" t="str">
        <x:v>keyword_scan_only</x:v>
      </x:c>
      <x:c r="I69" s="11" t="str"/>
      <x:c r="J69" s="11" t="str">
        <x:v>9e2b1debfa590343c080914487fa4ea4fcc671694533670f468b0412a42b96e1</x:v>
      </x:c>
      <x:c r="K69" s="11" t="str">
        <x:v>   </x:v>
      </x:c>
      <x:c r="L69" s="11" t="str">
        <x:v>Current legal applicability not established. Sinhala/Tamil and scanned pages need visual/OCR review.</x:v>
      </x:c>
      <x:c r="M69" s="11" t="str">
        <x:v>SRC_9e2b1debfa59</x:v>
      </x:c>
    </x:row>
    <x:row r="70" ht="126" customHeight="1">
      <x:c r="A70" s="8" t="str">
        <x:v>SRC_0069</x:v>
      </x:c>
      <x:c r="B70" s="8" t="str">
        <x:v>Nintavur Development Plan - English.pdf</x:v>
      </x:c>
      <x:c r="C70" s="8" t="str"/>
      <x:c r="D70" s="8" t="str">
        <x:v>local_development_plan</x:v>
      </x:c>
      <x:c r="E70" s="18" t="n">
        <x:v>220</x:v>
      </x:c>
      <x:c r="F70" s="18" t="n">
        <x:v>251261</x:v>
      </x:c>
      <x:c r="G70" s="18" t="n">
        <x:v>2</x:v>
      </x:c>
      <x:c r="H70" s="8" t="str">
        <x:v>keyword_scan_only</x:v>
      </x:c>
      <x:c r="I70" s="8" t="str"/>
      <x:c r="J70" s="8" t="str">
        <x:v>3fb80a3a122350f1eff2efb5e350477d7ff7346abc0f8b6ec68dbaad8873a933</x:v>
      </x:c>
      <x:c r="K70" s="8" t="str">
        <x:v>Nintavur Development Plan 2021 -2030 ~ i ~ Urban Development Authority Ministry of Urban Development &amp; Housing NINTAVUR DEVELOPMENT PLAN (2021-2030) Nintavur Development Plan 2021 -2030 ~ ii ~ Nintavur Development Plan 2021 - 2030 © Urban Development Authority – Sri Lanka 2021 All Right Reserved. This publication is published by the Urban Developme</x:v>
      </x:c>
      <x:c r="L70" s="8" t="str">
        <x:v>Current legal applicability not established. Sinhala/Tamil and scanned pages need visual/OCR review.</x:v>
      </x:c>
      <x:c r="M70" s="8" t="str">
        <x:v>SRC_3fb80a3a1223</x:v>
      </x:c>
    </x:row>
    <x:row r="71" ht="126" customHeight="1">
      <x:c r="A71" s="11" t="str">
        <x:v>SRC_0070</x:v>
      </x:c>
      <x:c r="B71" s="11" t="str">
        <x:v>Nuwara Eliya.pdf</x:v>
      </x:c>
      <x:c r="C71" s="11" t="str"/>
      <x:c r="D71" s="11" t="str">
        <x:v>local_development_plan</x:v>
      </x:c>
      <x:c r="E71" s="22" t="n">
        <x:v>376</x:v>
      </x:c>
      <x:c r="F71" s="22" t="n">
        <x:v>557744</x:v>
      </x:c>
      <x:c r="G71" s="22" t="n">
        <x:v>13</x:v>
      </x:c>
      <x:c r="H71" s="11" t="str">
        <x:v>keyword_scan_only</x:v>
      </x:c>
      <x:c r="I71" s="11" t="str"/>
      <x:c r="J71" s="11" t="str">
        <x:v>16a5eabb5d3c153df557d8dcae1476d567211cd9a14f353239da1d8acf5c0bae</x:v>
      </x:c>
      <x:c r="K71" s="11" t="str">
        <x:v>Greater Nuwara Eliya Development Plan 2022-2032 nb 2022- 2032 Greater Nuwara Eliya Development Plan 2022-2032 i Create Nuwara Eliya as the proper living area and touring area for all users by protecting the endemic and hereditary environment as well as unique build form ofthe area. ii Greater Nuwara Eliya Development Plan 2022-2032 ii Greater Nuwar</x:v>
      </x:c>
      <x:c r="L71" s="11" t="str">
        <x:v>Current legal applicability not established. Sinhala/Tamil and scanned pages need visual/OCR review.</x:v>
      </x:c>
      <x:c r="M71" s="11" t="str">
        <x:v>SRC_16a5eabb5d3c</x:v>
      </x:c>
    </x:row>
    <x:row r="72" ht="126" customHeight="1">
      <x:c r="A72" s="8" t="str">
        <x:v>SRC_0071</x:v>
      </x:c>
      <x:c r="B72" s="8" t="str">
        <x:v>October_2026_-_Autumn_edition.pdf</x:v>
      </x:c>
      <x:c r="C72" s="8" t="str"/>
      <x:c r="D72" s="8" t="str">
        <x:v>other_reference</x:v>
      </x:c>
      <x:c r="E72" s="18" t="n">
        <x:v>12</x:v>
      </x:c>
      <x:c r="F72" s="18" t="n">
        <x:v>14630</x:v>
      </x:c>
      <x:c r="G72" s="18" t="n">
        <x:v>0</x:v>
      </x:c>
      <x:c r="H72" s="8" t="str">
        <x:v>keyword_scan_only</x:v>
      </x:c>
      <x:c r="I72" s="8" t="str"/>
      <x:c r="J72" s="8" t="str">
        <x:v>ba1f8e1429cbb87266042f38c73575ae3bd0b9f72c43e16fd40ced3d7da77602</x:v>
      </x:c>
      <x:c r="K72" s="8" t="str">
        <x:v>View in browser Building Safety Newsletter October 2026 Edition New here? If someone forwarded you this newsletter and you would like to receive future editions directly, sign up here. Welcome to the autumn edition of our Building Safety Newsletter. We bring you regular news from the Ministry of Housing, Communities and Local Government on the work</x:v>
      </x:c>
      <x:c r="L72" s="8" t="str">
        <x:v>Current legal applicability not established. Sinhala/Tamil and scanned pages need visual/OCR review.</x:v>
      </x:c>
      <x:c r="M72" s="8" t="str">
        <x:v>SRC_ba1f8e1429cb</x:v>
      </x:c>
    </x:row>
    <x:row r="73" ht="70" customHeight="1">
      <x:c r="A73" s="11" t="str">
        <x:v>SRC_0072</x:v>
      </x:c>
      <x:c r="B73" s="11" t="str">
        <x:v>Pelmadulla_Kahawatta_E.pdf</x:v>
      </x:c>
      <x:c r="C73" s="11" t="str"/>
      <x:c r="D73" s="11" t="str">
        <x:v>local_development_plan</x:v>
      </x:c>
      <x:c r="E73" s="22" t="n">
        <x:v>391</x:v>
      </x:c>
      <x:c r="F73" s="22" t="n">
        <x:v>479918</x:v>
      </x:c>
      <x:c r="G73" s="22" t="n">
        <x:v>13</x:v>
      </x:c>
      <x:c r="H73" s="11" t="str">
        <x:v>keyword_scan_only</x:v>
      </x:c>
      <x:c r="I73" s="11" t="str"/>
      <x:c r="J73" s="11" t="str">
        <x:v>2d8f35c76569989deaaf5a95f59f2139c7ab417b87b364f63bea6eb961c9cfc7</x:v>
      </x:c>
      <x:c r="K73" s="11" t="str">
        <x:v>  PELMADULLA – KAHAWATTA DEVELOPMENT PLAN 2023 – 2033 “The Portal of Hidden Prosperity” Urban Development Authority Ministry of Urban Development and Housing </x:v>
      </x:c>
      <x:c r="L73" s="11" t="str">
        <x:v>Current legal applicability not established. Sinhala/Tamil and scanned pages need visual/OCR review.</x:v>
      </x:c>
      <x:c r="M73" s="11" t="str">
        <x:v>SRC_2d8f35c76569</x:v>
      </x:c>
    </x:row>
    <x:row r="74" ht="126" customHeight="1">
      <x:c r="A74" s="8" t="str">
        <x:v>SRC_0073</x:v>
      </x:c>
      <x:c r="B74" s="8" t="str">
        <x:v>PolgahawelaE_2024_2033.pdf</x:v>
      </x:c>
      <x:c r="C74" s="8" t="str"/>
      <x:c r="D74" s="8" t="str">
        <x:v>local_development_plan</x:v>
      </x:c>
      <x:c r="E74" s="18" t="n">
        <x:v>408</x:v>
      </x:c>
      <x:c r="F74" s="18" t="n">
        <x:v>468139</x:v>
      </x:c>
      <x:c r="G74" s="18" t="n">
        <x:v>1</x:v>
      </x:c>
      <x:c r="H74" s="8" t="str">
        <x:v>keyword_scan_only</x:v>
      </x:c>
      <x:c r="I74" s="8" t="str"/>
      <x:c r="J74" s="8" t="str">
        <x:v>422fdb569cac4c44edd530e139a63254a8fd258b57ca4c74efeaba928430d2a2</x:v>
      </x:c>
      <x:c r="K74" s="8" t="str">
        <x:v>Polgahawela Development Plan 2024-2033 “Glorious Rail City” Urban Development Authority Ministry of Urban Development and Housing Urban Development Authority Ministry of Urban Development and Housing POLGAHAWELA DEVELOPMENT PLAN (2024 - 2033) URBAN DEVELOPMENT AUTHORITY MINISTRY OF URBAN DEVELOPMENT AND HOUSING Polgahawela Development Plan 2024-203</x:v>
      </x:c>
      <x:c r="L74" s="8" t="str">
        <x:v>Current legal applicability not established. Sinhala/Tamil and scanned pages need visual/OCR review.</x:v>
      </x:c>
      <x:c r="M74" s="8" t="str">
        <x:v>SRC_422fdb569cac</x:v>
      </x:c>
    </x:row>
    <x:row r="75" ht="126" customHeight="1">
      <x:c r="A75" s="11" t="str">
        <x:v>SRC_0074</x:v>
      </x:c>
      <x:c r="B75" s="11" t="str">
        <x:v>Polonnaruwa Development Plan - English.pdf</x:v>
      </x:c>
      <x:c r="C75" s="11" t="str"/>
      <x:c r="D75" s="11" t="str">
        <x:v>local_development_plan</x:v>
      </x:c>
      <x:c r="E75" s="22" t="n">
        <x:v>449</x:v>
      </x:c>
      <x:c r="F75" s="22" t="n">
        <x:v>512380</x:v>
      </x:c>
      <x:c r="G75" s="22" t="n">
        <x:v>18</x:v>
      </x:c>
      <x:c r="H75" s="11" t="str">
        <x:v>keyword_scan_only</x:v>
      </x:c>
      <x:c r="I75" s="11" t="str"/>
      <x:c r="J75" s="11" t="str">
        <x:v>3616fb85dde57d4499abd61377580250e2cc8e65b54e9de227db4d4a468dbe54</x:v>
      </x:c>
      <x:c r="K75" s="11" t="str">
        <x:v> “THE GREEN GLORIUS HERITAGE CITY IN KINGDOM OF RICE” POLONNARUWA URBAN DEVELOPMENT PLAN 2021 - 2030 Urban Development Authority Ministry of Urban Development and Housing Polonnaruwa Urban Development Plan 2021 - 2030 ii Polonnaruwa Urban Development Plan 2021 - 2030 © Urban Development Authority - Sri Lanka - 2021 All rights reserved. This publica</x:v>
      </x:c>
      <x:c r="L75" s="11" t="str">
        <x:v>Current legal applicability not established. Sinhala/Tamil and scanned pages need visual/OCR review.</x:v>
      </x:c>
      <x:c r="M75" s="11" t="str">
        <x:v>SRC_3616fb85dde5</x:v>
      </x:c>
    </x:row>
    <x:row r="76" ht="126" customHeight="1">
      <x:c r="A76" s="8" t="str">
        <x:v>SRC_0075</x:v>
      </x:c>
      <x:c r="B76" s="8" t="str">
        <x:v>RabukkanaE.pdf</x:v>
      </x:c>
      <x:c r="C76" s="8" t="str"/>
      <x:c r="D76" s="8" t="str">
        <x:v>local_development_plan</x:v>
      </x:c>
      <x:c r="E76" s="18" t="n">
        <x:v>419</x:v>
      </x:c>
      <x:c r="F76" s="18" t="n">
        <x:v>546848</x:v>
      </x:c>
      <x:c r="G76" s="18" t="n">
        <x:v>9</x:v>
      </x:c>
      <x:c r="H76" s="8" t="str">
        <x:v>keyword_scan_only</x:v>
      </x:c>
      <x:c r="I76" s="8" t="str"/>
      <x:c r="J76" s="8" t="str">
        <x:v>547e220aab8c41dae3aad78130a8ce0166f8620340beaac35f69f281f163da5b</x:v>
      </x:c>
      <x:c r="K76" s="8" t="str">
        <x:v>Rambukkana Development Plan 2023-2033 Urban Development Authority Ministry of Urban Development &amp; Housing ii Rambukkana Development Plan 2023-2033 Urban Development Authority – Sri Lanka 2023 All rights reserved This publication is published by the Urban Development Authority. Duplication, Trade, Distribution, Copying or otherwise without the prior</x:v>
      </x:c>
      <x:c r="L76" s="8" t="str">
        <x:v>Current legal applicability not established. Sinhala/Tamil and scanned pages need visual/OCR review.</x:v>
      </x:c>
      <x:c r="M76" s="8" t="str">
        <x:v>SRC_547e220aab8c</x:v>
      </x:c>
    </x:row>
    <x:row r="77" ht="126" customHeight="1">
      <x:c r="A77" s="11" t="str">
        <x:v>SRC_0076</x:v>
      </x:c>
      <x:c r="B77" s="11" t="str">
        <x:v>Rathnapura Development Plan - Englsih.pdf</x:v>
      </x:c>
      <x:c r="C77" s="11" t="str"/>
      <x:c r="D77" s="11" t="str">
        <x:v>local_development_plan</x:v>
      </x:c>
      <x:c r="E77" s="22" t="n">
        <x:v>416</x:v>
      </x:c>
      <x:c r="F77" s="22" t="n">
        <x:v>488184</x:v>
      </x:c>
      <x:c r="G77" s="22" t="n">
        <x:v>6</x:v>
      </x:c>
      <x:c r="H77" s="11" t="str">
        <x:v>keyword_scan_only</x:v>
      </x:c>
      <x:c r="I77" s="11" t="str"/>
      <x:c r="J77" s="11" t="str">
        <x:v>18aee8c3fb9c805f0f986c8a17a24be31aa390a253dd97075179648e431b560b</x:v>
      </x:c>
      <x:c r="K77" s="11" t="str">
        <x:v>Urban Development Authority Ratnapura Development Plan 2021–2030 I Ratnapura Development Plan 2021–2030 Urban Development Authority MInistry of Urban Development &amp; Housing Ratnapura Development Plan 2021–2030 Urban Development Authority II Ratnapura Development Plan 2021–2030 © Urban Development Authority – Sri Lanka 2021 All Right Reserved. This p</x:v>
      </x:c>
      <x:c r="L77" s="11" t="str">
        <x:v>Current legal applicability not established. Sinhala/Tamil and scanned pages need visual/OCR review.</x:v>
      </x:c>
      <x:c r="M77" s="11" t="str">
        <x:v>SRC_18aee8c3fb9c</x:v>
      </x:c>
    </x:row>
    <x:row r="78" ht="70" customHeight="1">
      <x:c r="A78" s="8" t="str">
        <x:v>SRC_0077</x:v>
      </x:c>
      <x:c r="B78" s="8" t="str">
        <x:v>Rathnapura.zip::Rathnapura/ratnapura Gazette.pdf</x:v>
      </x:c>
      <x:c r="C78" s="8" t="str">
        <x:v>Rathnapura.zip</x:v>
      </x:c>
      <x:c r="D78" s="8" t="str">
        <x:v>single_page_needs_visual_review</x:v>
      </x:c>
      <x:c r="E78" s="18" t="n">
        <x:v>1</x:v>
      </x:c>
      <x:c r="F78" s="18" t="n">
        <x:v>0</x:v>
      </x:c>
      <x:c r="G78" s="18" t="n">
        <x:v>0</x:v>
      </x:c>
      <x:c r="H78" s="8" t="str">
        <x:v>keyword_scan_only</x:v>
      </x:c>
      <x:c r="I78" s="8" t="str"/>
      <x:c r="J78" s="8" t="str">
        <x:v>800706eae75c00c44448958974a9540ad5e04b54f6b43c8b17fa3c281cb36da6</x:v>
      </x:c>
      <x:c r="K78" s="8" t="str">
        <x:v> </x:v>
      </x:c>
      <x:c r="L78" s="8" t="str">
        <x:v>Current legal applicability not established. Sinhala/Tamil and scanned pages need visual/OCR review.</x:v>
      </x:c>
      <x:c r="M78" s="8" t="str">
        <x:v>SRC_800706eae75c</x:v>
      </x:c>
    </x:row>
    <x:row r="79" ht="126" customHeight="1">
      <x:c r="A79" s="11" t="str">
        <x:v>SRC_0078</x:v>
      </x:c>
      <x:c r="B79" s="11" t="str">
        <x:v>Rathnapura.zip::Rathnapura/Ratnapura Volume I.pdf</x:v>
      </x:c>
      <x:c r="C79" s="11" t="str">
        <x:v>Rathnapura.zip</x:v>
      </x:c>
      <x:c r="D79" s="11" t="str">
        <x:v>local_development_plan</x:v>
      </x:c>
      <x:c r="E79" s="22" t="n">
        <x:v>60</x:v>
      </x:c>
      <x:c r="F79" s="22" t="n">
        <x:v>77039</x:v>
      </x:c>
      <x:c r="G79" s="22" t="n">
        <x:v>0</x:v>
      </x:c>
      <x:c r="H79" s="11" t="str">
        <x:v>keyword_scan_only</x:v>
      </x:c>
      <x:c r="I79" s="11" t="str"/>
      <x:c r="J79" s="11" t="str">
        <x:v>bfe301e6e24689b8691a836a587403b49327e2b4b5543e0af3a73f86141a4af2</x:v>
      </x:c>
      <x:c r="K79" s="11" t="str">
        <x:v>i ii PREFACE This development plan has been prepared for the implementation of the development of Ratnapura Municipal Council area within the next three decades. The aim of this plan is to make Ratnapura, an attractive sustainable capital city of the Sabaragamuwa Province. It has also been proposed to develop, Ratnapura city on dual centered concep</x:v>
      </x:c>
      <x:c r="L79" s="11" t="str">
        <x:v>Current legal applicability not established. Sinhala/Tamil and scanned pages need visual/OCR review.</x:v>
      </x:c>
      <x:c r="M79" s="11" t="str">
        <x:v>SRC_bfe301e6e246</x:v>
      </x:c>
    </x:row>
    <x:row r="80" ht="126" customHeight="1">
      <x:c r="A80" s="8" t="str">
        <x:v>SRC_0079</x:v>
      </x:c>
      <x:c r="B80" s="8" t="str">
        <x:v>Rathnapura.zip::Rathnapura/Ratnapura Volume II.pdf</x:v>
      </x:c>
      <x:c r="C80" s="8" t="str">
        <x:v>Rathnapura.zip</x:v>
      </x:c>
      <x:c r="D80" s="8" t="str">
        <x:v>local_development_plan</x:v>
      </x:c>
      <x:c r="E80" s="18" t="n">
        <x:v>152</x:v>
      </x:c>
      <x:c r="F80" s="18" t="n">
        <x:v>243497</x:v>
      </x:c>
      <x:c r="G80" s="18" t="n">
        <x:v>15</x:v>
      </x:c>
      <x:c r="H80" s="8" t="str">
        <x:v>keyword_scan_only</x:v>
      </x:c>
      <x:c r="I80" s="8" t="str"/>
      <x:c r="J80" s="8" t="str">
        <x:v>828764c459735bfc0b3583fc619fd1f856a55549d33fffa1bf9e4b9348d42442</x:v>
      </x:c>
      <x:c r="K80" s="8" t="str">
        <x:v>i ii PREFACE This development plan has been prepared for the implementation of the development of Ratnapura Municipal Council area within the next three decades. The aim of this plan is to make Ratnapura, an attractive sustainable capital city of the Sabaragamuwa Province. It has also been proposed to develop, Ratnapura city on dual centered concep</x:v>
      </x:c>
      <x:c r="L80" s="8" t="str">
        <x:v>Current legal applicability not established. Sinhala/Tamil and scanned pages need visual/OCR review.</x:v>
      </x:c>
      <x:c r="M80" s="8" t="str">
        <x:v>SRC_828764c45973</x:v>
      </x:c>
    </x:row>
    <x:row r="81" ht="126" customHeight="1">
      <x:c r="A81" s="11" t="str">
        <x:v>SRC_0080</x:v>
      </x:c>
      <x:c r="B81" s="11" t="str">
        <x:v>Special_Edition_-_Grenfell_Inquiry_Progress_Report__Construction_Products_White_Paper_Published.pdf</x:v>
      </x:c>
      <x:c r="C81" s="11" t="str"/>
      <x:c r="D81" s="11" t="str">
        <x:v>other_reference</x:v>
      </x:c>
      <x:c r="E81" s="22" t="n">
        <x:v>5</x:v>
      </x:c>
      <x:c r="F81" s="22" t="n">
        <x:v>7505</x:v>
      </x:c>
      <x:c r="G81" s="22" t="n">
        <x:v>0</x:v>
      </x:c>
      <x:c r="H81" s="11" t="str">
        <x:v>keyword_scan_only</x:v>
      </x:c>
      <x:c r="I81" s="11" t="str"/>
      <x:c r="J81" s="11" t="str">
        <x:v>9b05047442382e5956b683998a101f0aa5f58c92482e9bd37b0b610c5606dd56</x:v>
      </x:c>
      <x:c r="K81" s="11" t="str">
        <x:v>View in browser Building Safety Newsletter February 2026 Special Edition Welcome to this special edition of the building safety newsletter, highlighting the publication of: Grenfell Tower Inquiry Government Annual Report Construction Products Reform White Paper Statement from the Interim Chief Construction Advisor Other News in Brief If you would l</x:v>
      </x:c>
      <x:c r="L81" s="11" t="str">
        <x:v>Current legal applicability not established. Sinhala/Tamil and scanned pages need visual/OCR review.</x:v>
      </x:c>
      <x:c r="M81" s="11" t="str">
        <x:v>SRC_9b0504744238</x:v>
      </x:c>
    </x:row>
    <x:row r="82" ht="70" customHeight="1">
      <x:c r="A82" s="8" t="str">
        <x:v>SRC_0081</x:v>
      </x:c>
      <x:c r="B82" s="8" t="str">
        <x:v>Sri Jayawardenapura.zip::Sri Jayawardenapura/SJP_DP_Summary.pdf</x:v>
      </x:c>
      <x:c r="C82" s="8" t="str">
        <x:v>Sri Jayawardenapura.zip</x:v>
      </x:c>
      <x:c r="D82" s="8" t="str">
        <x:v>local_development_plan</x:v>
      </x:c>
      <x:c r="E82" s="18" t="n">
        <x:v>17</x:v>
      </x:c>
      <x:c r="F82" s="18" t="n">
        <x:v>0</x:v>
      </x:c>
      <x:c r="G82" s="18" t="n">
        <x:v>0</x:v>
      </x:c>
      <x:c r="H82" s="8" t="str">
        <x:v>keyword_scan_only</x:v>
      </x:c>
      <x:c r="I82" s="8" t="str"/>
      <x:c r="J82" s="8" t="str">
        <x:v>13229ac7d647f1e7851ef3405152db35e0fd8c62d95134972094391b2c284de0</x:v>
      </x:c>
      <x:c r="K82" s="8" t="str">
        <x:v>   </x:v>
      </x:c>
      <x:c r="L82" s="8" t="str">
        <x:v>Current legal applicability not established. Sinhala/Tamil and scanned pages need visual/OCR review.</x:v>
      </x:c>
      <x:c r="M82" s="8" t="str">
        <x:v>SRC_13229ac7d647</x:v>
      </x:c>
    </x:row>
    <x:row r="83" ht="70" customHeight="1">
      <x:c r="A83" s="11" t="str">
        <x:v>SRC_0082</x:v>
      </x:c>
      <x:c r="B83" s="11" t="str">
        <x:v>Sri Jayawardenapura.zip::Sri Jayawardenapura/SJP_Gazette.pdf</x:v>
      </x:c>
      <x:c r="C83" s="11" t="str">
        <x:v>Sri Jayawardenapura.zip</x:v>
      </x:c>
      <x:c r="D83" s="11" t="str">
        <x:v>single_page_needs_visual_review</x:v>
      </x:c>
      <x:c r="E83" s="22" t="n">
        <x:v>1</x:v>
      </x:c>
      <x:c r="F83" s="22" t="n">
        <x:v>0</x:v>
      </x:c>
      <x:c r="G83" s="22" t="n">
        <x:v>0</x:v>
      </x:c>
      <x:c r="H83" s="11" t="str">
        <x:v>keyword_scan_only</x:v>
      </x:c>
      <x:c r="I83" s="11" t="str"/>
      <x:c r="J83" s="11" t="str">
        <x:v>b01c42395e15d0a99a555618a3124ff2597c7cecc9ae9bd5aeecfb74d8553c1e</x:v>
      </x:c>
      <x:c r="K83" s="11" t="str">
        <x:v> </x:v>
      </x:c>
      <x:c r="L83" s="11" t="str">
        <x:v>Current legal applicability not established. Sinhala/Tamil and scanned pages need visual/OCR review.</x:v>
      </x:c>
      <x:c r="M83" s="11" t="str">
        <x:v>SRC_b01c42395e15</x:v>
      </x:c>
    </x:row>
    <x:row r="84" ht="126" customHeight="1">
      <x:c r="A84" s="8" t="str">
        <x:v>SRC_0083</x:v>
      </x:c>
      <x:c r="B84" s="8" t="str">
        <x:v>Sri Jayawardenapura.zip::Sri Jayawardenapura/SJP_Volume I.pdf</x:v>
      </x:c>
      <x:c r="C84" s="8" t="str">
        <x:v>Sri Jayawardenapura.zip</x:v>
      </x:c>
      <x:c r="D84" s="8" t="str">
        <x:v>local_development_plan</x:v>
      </x:c>
      <x:c r="E84" s="18" t="n">
        <x:v>109</x:v>
      </x:c>
      <x:c r="F84" s="18" t="n">
        <x:v>191320</x:v>
      </x:c>
      <x:c r="G84" s="18" t="n">
        <x:v>9</x:v>
      </x:c>
      <x:c r="H84" s="8" t="str">
        <x:v>keyword_scan_only</x:v>
      </x:c>
      <x:c r="I84" s="8" t="str"/>
      <x:c r="J84" s="8" t="str">
        <x:v>adcc9467edfff995abe0f526e881aaeaac3fc4c2f33fe7fc80b9fda028b4ec1a</x:v>
      </x:c>
      <x:c r="K84" s="8" t="str">
        <x:v>DEVELOPMENT PLAN FOR URBAN DEVELOPMENT AREA OF SRI JAYAWARDENEPURA KOTTE 2007 - 2020 VOLUME I SITUATIONAL REPORT Urban Development Authority “Sethsiripaya” Battaramulla. 2007 APPROVAL OF THE DEVELOPMENT PLAN FOR THE URBAN DEVELOPMENT AREA OF SRI JAYAWARDENEPURA KOTTE MUNICIPAL COUNCIL I, Dinesh Chandra Rupasinghe, Minister of Urban Development and </x:v>
      </x:c>
      <x:c r="L84" s="8" t="str">
        <x:v>Current legal applicability not established. Sinhala/Tamil and scanned pages need visual/OCR review.</x:v>
      </x:c>
      <x:c r="M84" s="8" t="str">
        <x:v>SRC_adcc9467edff</x:v>
      </x:c>
    </x:row>
    <x:row r="85" ht="126" customHeight="1">
      <x:c r="A85" s="11" t="str">
        <x:v>SRC_0084</x:v>
      </x:c>
      <x:c r="B85" s="11" t="str">
        <x:v>Sri Jayawardenapura.zip::Sri Jayawardenapura/SJP_Volume II Part I.pdf</x:v>
      </x:c>
      <x:c r="C85" s="11" t="str">
        <x:v>Sri Jayawardenapura.zip</x:v>
      </x:c>
      <x:c r="D85" s="11" t="str">
        <x:v>local_development_plan</x:v>
      </x:c>
      <x:c r="E85" s="22" t="n">
        <x:v>69</x:v>
      </x:c>
      <x:c r="F85" s="22" t="n">
        <x:v>119405</x:v>
      </x:c>
      <x:c r="G85" s="22" t="n">
        <x:v>23</x:v>
      </x:c>
      <x:c r="H85" s="11" t="str">
        <x:v>keyword_scan_only</x:v>
      </x:c>
      <x:c r="I85" s="11" t="str"/>
      <x:c r="J85" s="11" t="str">
        <x:v>e27e03b593f0120a9221a1f443b06612d0e4f7b1f507d10dbae2642caeb05b9a</x:v>
      </x:c>
      <x:c r="K85" s="11" t="str">
        <x:v>1 Citation and Commencement Submission of Plan for approval Preliminaries 1. These Regulations may be cited as the Planning and Building Regulations 1999 approved under section 8F of Urban Development Authority Law and shall come into operation on the 29th day of July, 1999. Part I Submission of Plaor Approval of Land Parcelling or Su-Division and </x:v>
      </x:c>
      <x:c r="L85" s="11" t="str">
        <x:v>Current legal applicability not established. Sinhala/Tamil and scanned pages need visual/OCR review.</x:v>
      </x:c>
      <x:c r="M85" s="11" t="str">
        <x:v>SRC_e27e03b593f0</x:v>
      </x:c>
    </x:row>
    <x:row r="86" ht="126" customHeight="1">
      <x:c r="A86" s="8" t="str">
        <x:v>SRC_0085</x:v>
      </x:c>
      <x:c r="B86" s="8" t="str">
        <x:v>Sri Jayawardenapura.zip::Sri Jayawardenapura/SJP_Volume II Part II.pdf</x:v>
      </x:c>
      <x:c r="C86" s="8" t="str">
        <x:v>Sri Jayawardenapura.zip</x:v>
      </x:c>
      <x:c r="D86" s="8" t="str">
        <x:v>local_development_plan</x:v>
      </x:c>
      <x:c r="E86" s="18" t="n">
        <x:v>30</x:v>
      </x:c>
      <x:c r="F86" s="18" t="n">
        <x:v>30671</x:v>
      </x:c>
      <x:c r="G86" s="18" t="n">
        <x:v>5</x:v>
      </x:c>
      <x:c r="H86" s="8" t="str">
        <x:v>keyword_scan_only</x:v>
      </x:c>
      <x:c r="I86" s="8" t="str"/>
      <x:c r="J86" s="8" t="str">
        <x:v>75de67e972a9213a2aecbfaf2fe4a50b5870f20694012ad865bde5c88d72e2d7</x:v>
      </x:c>
      <x:c r="K86" s="8" t="str">
        <x:v>PART-V SCHEDULES SCHEDULE 1 (As per Regulation -1) FORM “A” APPLICATION FOR OBTAINING DEVELOPMENT PERMIT FOR SUB DIVISIONS OF LAND For Office use only No: ……………… Processing fee paid ………………. Receipt no: ……………… Date: ………………. Chairman, Urban Development Authority Through, Mayor/ Authorized Officer Kotte Municipal Council Sir, I/We hereby apply for Per</x:v>
      </x:c>
      <x:c r="L86" s="8" t="str">
        <x:v>Current legal applicability not established. Sinhala/Tamil and scanned pages need visual/OCR review.</x:v>
      </x:c>
      <x:c r="M86" s="8" t="str">
        <x:v>SRC_75de67e972a9</x:v>
      </x:c>
    </x:row>
    <x:row r="87" ht="126" customHeight="1">
      <x:c r="A87" s="11" t="str">
        <x:v>SRC_0086</x:v>
      </x:c>
      <x:c r="B87" s="11" t="str">
        <x:v>ThalawaS.pdf</x:v>
      </x:c>
      <x:c r="C87" s="11" t="str"/>
      <x:c r="D87" s="11" t="str">
        <x:v>local_development_plan</x:v>
      </x:c>
      <x:c r="E87" s="22" t="n">
        <x:v>417</x:v>
      </x:c>
      <x:c r="F87" s="22" t="n">
        <x:v>692526</x:v>
      </x:c>
      <x:c r="G87" s="22" t="n">
        <x:v>0</x:v>
      </x:c>
      <x:c r="H87" s="11" t="str">
        <x:v>keyword_scan_only</x:v>
      </x:c>
      <x:c r="I87" s="11" t="str"/>
      <x:c r="J87" s="11" t="str">
        <x:v>c017411f88b5192e3b27f53c3f5023c45f7f45b010ef45bd724315e9c4de7fb7</x:v>
      </x:c>
      <x:c r="K87" s="11" t="str">
        <x:v>තරහ඼ න඙ය ඿ං඼ර්ධන ඿ළරළ඿සභ (2023 – 2033) i තරහ඼ න඙ය ඿ං඼ර්ධන ඿ළරළ඿සභ (2023 – 2033) ii ත඼ාල නගර වංලර්ධන වැ඼ැව්භ 2023 - 2033 නහ඙රි඗ ඿ං඼ර්ධන අධි඗හරිඹ උතුරු භළද ඳශහත් ඗හර්ඹහරඹ අනුයහධපුය 2023 - 2033 තරහ඼ න඙ය ඿ං඼ර්ධන ඿ළරළ඿සභ (2023 – 2033) iii ත඼ාල නගර වංලර්ධන වැ඼ැව්භ @ නහ඙රි඗ ඿ං඼ර්ධන අධි඗හරිඹ, ශ්‍රී රං඗හ඼ - 2023 මභභ ප්‍ර඗හලඹ නහ඙රි඗ ඿ං඼ර්ධන අධි඗හරිඹ ිසින් ප්</x:v>
      </x:c>
      <x:c r="L87" s="11" t="str">
        <x:v>Current legal applicability not established. Sinhala/Tamil and scanned pages need visual/OCR review.</x:v>
      </x:c>
      <x:c r="M87" s="11" t="str">
        <x:v>SRC_c017411f88b5</x:v>
      </x:c>
    </x:row>
    <x:row r="88" ht="126" customHeight="1">
      <x:c r="A88" s="8" t="str">
        <x:v>SRC_0087</x:v>
      </x:c>
      <x:c r="B88" s="8" t="str">
        <x:v>ThihagodaPS.pdf</x:v>
      </x:c>
      <x:c r="C88" s="8" t="str"/>
      <x:c r="D88" s="8" t="str">
        <x:v>local_development_plan</x:v>
      </x:c>
      <x:c r="E88" s="18" t="n">
        <x:v>172</x:v>
      </x:c>
      <x:c r="F88" s="18" t="n">
        <x:v>222283</x:v>
      </x:c>
      <x:c r="G88" s="18" t="n">
        <x:v>0</x:v>
      </x:c>
      <x:c r="H88" s="8" t="str">
        <x:v>keyword_scan_only</x:v>
      </x:c>
      <x:c r="I88" s="8" t="str"/>
      <x:c r="J88" s="8" t="str">
        <x:v>47582b024fb3dd10e9a4eb74cfeac252977aa01a1c1e5c72025c911598ee9ac5</x:v>
      </x:c>
      <x:c r="K88" s="8" t="str">
        <x:v>විසල් මාතර සංවර්ධන සැලැස්ම 2023-2033 තිහග ාඩ ප්‍රාගේශීය සභා බල ප්‍රගේශය 1 0 විසල් මාතර සංවර්ධන සැලැස්ම 2023-2033 තිහග ාඩ ප්‍රාගේශීය සභා බල ප්‍රගේශය 2 නාගරික සංවර්ධන අධිකාරිය නාගරික සංවර්ධන, ඉදිකිරීම් හා නිවාස අමාත්‍ාංශය විසල් මාත්ර සංවර්ධන සැලැස්ම 2023 – 2033 තිහගගාඩ ප්‍රාගේශීය සභා බල ප්‍රගේශය විසල් මාතර සංවර්ධන සැලැස්ම 2023-2033 තිහග ාඩ ප්‍රාගේශීය</x:v>
      </x:c>
      <x:c r="L88" s="8" t="str">
        <x:v>Current legal applicability not established. Sinhala/Tamil and scanned pages need visual/OCR review.</x:v>
      </x:c>
      <x:c r="M88" s="8" t="str">
        <x:v>SRC_47582b024fb3</x:v>
      </x:c>
    </x:row>
    <x:row r="89" ht="70" customHeight="1">
      <x:c r="A89" s="11" t="str">
        <x:v>SRC_0088</x:v>
      </x:c>
      <x:c r="B89" s="11" t="str">
        <x:v>Trinco Volume II.pdf</x:v>
      </x:c>
      <x:c r="C89" s="11" t="str"/>
      <x:c r="D89" s="11" t="str">
        <x:v>local_development_plan</x:v>
      </x:c>
      <x:c r="E89" s="22" t="n">
        <x:v>73</x:v>
      </x:c>
      <x:c r="F89" s="22" t="n">
        <x:v>0</x:v>
      </x:c>
      <x:c r="G89" s="22" t="n">
        <x:v>0</x:v>
      </x:c>
      <x:c r="H89" s="11" t="str">
        <x:v>keyword_scan_only</x:v>
      </x:c>
      <x:c r="I89" s="11" t="str"/>
      <x:c r="J89" s="11" t="str">
        <x:v>46464b771402e3859b09d863f242343989510e427af8d771fd5c07022a0f507e</x:v>
      </x:c>
      <x:c r="K89" s="11" t="str">
        <x:v>   </x:v>
      </x:c>
      <x:c r="L89" s="11" t="str">
        <x:v>Current legal applicability not established. Sinhala/Tamil and scanned pages need visual/OCR review.</x:v>
      </x:c>
      <x:c r="M89" s="11" t="str">
        <x:v>SRC_46464b771402</x:v>
      </x:c>
    </x:row>
    <x:row r="90" ht="126" customHeight="1">
      <x:c r="A90" s="8" t="str">
        <x:v>SRC_0089</x:v>
      </x:c>
      <x:c r="B90" s="8" t="str">
        <x:v>Vavniya2023-2033_E.pdf</x:v>
      </x:c>
      <x:c r="C90" s="8" t="str"/>
      <x:c r="D90" s="8" t="str">
        <x:v>local_development_plan</x:v>
      </x:c>
      <x:c r="E90" s="18" t="n">
        <x:v>290</x:v>
      </x:c>
      <x:c r="F90" s="18" t="n">
        <x:v>350224</x:v>
      </x:c>
      <x:c r="G90" s="18" t="n">
        <x:v>18</x:v>
      </x:c>
      <x:c r="H90" s="8" t="str">
        <x:v>keyword_scan_only</x:v>
      </x:c>
      <x:c r="I90" s="8" t="str"/>
      <x:c r="J90" s="8" t="str">
        <x:v>13b83197e16c700602ad45213b12693298d470ad0be1bbd55b9c0ec131eb8767</x:v>
      </x:c>
      <x:c r="K90" s="8" t="str">
        <x:v>Vavuniya Development Plan (2023 – 2033) VAVUNIYA DEVELOPMENT PLAN (2023-2033) Urban Development Authority Ministry of Urban Development &amp; Housing Vavuniya Development Plan (2023 – 2033) Vavuniya Development Plan (2023 – 2033) Urban Development Authority Ministry of Urban Development &amp; Housing “The Spider Web” 1 Vavuniya Development Plan (2023 – 203</x:v>
      </x:c>
      <x:c r="L90" s="8" t="str">
        <x:v>Current legal applicability not established. Sinhala/Tamil and scanned pages need visual/OCR review.</x:v>
      </x:c>
      <x:c r="M90" s="8" t="str">
        <x:v>SRC_13b83197e16c</x:v>
      </x:c>
    </x:row>
    <x:row r="91" ht="70" customHeight="1">
      <x:c r="A91" s="11" t="str">
        <x:v>SRC_0090</x:v>
      </x:c>
      <x:c r="B91" s="11" t="str">
        <x:v>VrBfcWOw2V.pdf</x:v>
      </x:c>
      <x:c r="C91" s="11" t="str"/>
      <x:c r="D91" s="11" t="str">
        <x:v>single_page_needs_visual_review</x:v>
      </x:c>
      <x:c r="E91" s="22" t="n">
        <x:v>1</x:v>
      </x:c>
      <x:c r="F91" s="22" t="n">
        <x:v>0</x:v>
      </x:c>
      <x:c r="G91" s="22" t="n">
        <x:v>0</x:v>
      </x:c>
      <x:c r="H91" s="11" t="str">
        <x:v>keyword_scan_only</x:v>
      </x:c>
      <x:c r="I91" s="11" t="str"/>
      <x:c r="J91" s="11" t="str">
        <x:v>5e9bc749e48813623aab4a48b7984b08eda870897c41b5e0f7c43b898579c626</x:v>
      </x:c>
      <x:c r="K91" s="11" t="str">
        <x:v> </x:v>
      </x:c>
      <x:c r="L91" s="11" t="str">
        <x:v>Current legal applicability not established. Sinhala/Tamil and scanned pages need visual/OCR review.</x:v>
      </x:c>
      <x:c r="M91" s="11" t="str">
        <x:v>SRC_5e9bc749e488</x:v>
      </x:c>
    </x:row>
    <x:row r="92" ht="126" customHeight="1">
      <x:c r="A92" s="8" t="str">
        <x:v>SRC_0091</x:v>
      </x:c>
      <x:c r="B92" s="8" t="str">
        <x:v>WeligamaPS.pdf</x:v>
      </x:c>
      <x:c r="C92" s="8" t="str"/>
      <x:c r="D92" s="8" t="str">
        <x:v>local_development_plan</x:v>
      </x:c>
      <x:c r="E92" s="18" t="n">
        <x:v>270</x:v>
      </x:c>
      <x:c r="F92" s="18" t="n">
        <x:v>339796</x:v>
      </x:c>
      <x:c r="G92" s="18" t="n">
        <x:v>0</x:v>
      </x:c>
      <x:c r="H92" s="8" t="str">
        <x:v>keyword_scan_only</x:v>
      </x:c>
      <x:c r="I92" s="8" t="str"/>
      <x:c r="J92" s="8" t="str">
        <x:v>726381667b6455b34778a00dba0b5bfe2603c75d8d46149dbb484e2195ae510d</x:v>
      </x:c>
      <x:c r="K92" s="8" t="str">
        <x:v>i වැලිගම ප්‍රාදේශීය සභා බල ප්‍රදේශය - සංවර්ධන සැලැස්ම 2033 නාගරික සංවර්ධන අධිකාරිය - මාතර දිස්ික් කාර්යාලය විසල් මාතර සංවර්ධන සැලැස්ම 2023 – 2033 වැලිගම ප්‍රාදේශීය සභා බල ප්‍රදේශය ii විසල් මාතර සංවර්ධන සැලැස්ම 2023-2033 වැලිගම ප්‍රාදේශීය සභා බල ප්‍රදේශය විසල් මාතර සංවර්ධන සැලැස්ම 2023-2033 වැලිගම ප්‍රාදේශීය සභා බල ප්‍රදේශය නාගරික සංවර්ධන අධිකාරිය න</x:v>
      </x:c>
      <x:c r="L92" s="8" t="str">
        <x:v>Current legal applicability not established. Sinhala/Tamil and scanned pages need visual/OCR review.</x:v>
      </x:c>
      <x:c r="M92" s="8" t="str">
        <x:v>SRC_726381667b64</x:v>
      </x:c>
    </x:row>
    <x:row r="93" ht="126" customHeight="1">
      <x:c r="A93" s="11" t="str">
        <x:v>SRC_0092</x:v>
      </x:c>
      <x:c r="B93" s="11" t="str">
        <x:v>WeligamaUC.pdf</x:v>
      </x:c>
      <x:c r="C93" s="11" t="str"/>
      <x:c r="D93" s="11" t="str">
        <x:v>local_development_plan</x:v>
      </x:c>
      <x:c r="E93" s="22" t="n">
        <x:v>250</x:v>
      </x:c>
      <x:c r="F93" s="22" t="n">
        <x:v>295041</x:v>
      </x:c>
      <x:c r="G93" s="22" t="n">
        <x:v>0</x:v>
      </x:c>
      <x:c r="H93" s="11" t="str">
        <x:v>keyword_scan_only</x:v>
      </x:c>
      <x:c r="I93" s="11" t="str"/>
      <x:c r="J93" s="11" t="str">
        <x:v>5e8a1c070edcafe7f8253017eb7651be066c900583a7e6a399f91ffd81277166</x:v>
      </x:c>
      <x:c r="K93" s="11" t="str">
        <x:v>නාගරික සංවර්ධන අධිකාරිය මහ මාතර නාගරික ප්‍රදේශය - වැලිගම නගර සභා වර්ධන සැලැස්ම 2023-2033 නාගරික සංවර්ධන අධිකාරිය - මාතර දිස්ික් කාර්යාලය II වැලිගම නගර සභා බල ප්‍රදේශය විසල් මාතර සංවර්ධන සැලැස්ම 2023 - 2033 විසල් මාතර සංවර්ධන සැලැස්ම 2023-2033 වැලිගම නගර සභා බල ප්‍රදේශය නාගරික සංවර්ධන අධිකාරිය - මාතර දිස්ික් කාර්යාලය 1 වැලිගම නගර සභාව සදහා වන නගර සං</x:v>
      </x:c>
      <x:c r="L93" s="11" t="str">
        <x:v>Current legal applicability not established. Sinhala/Tamil and scanned pages need visual/OCR review.</x:v>
      </x:c>
      <x:c r="M93" s="11" t="str">
        <x:v>SRC_5e8a1c070edc</x:v>
      </x:c>
    </x:row>
    <x:row r="94" ht="126" customHeight="1">
      <x:c r="A94" s="8" t="str">
        <x:v>SRC_0093</x:v>
      </x:c>
      <x:c r="B94" s="8" t="str">
        <x:v>WelimadaDP2023-2033_E.pdf</x:v>
      </x:c>
      <x:c r="C94" s="8" t="str"/>
      <x:c r="D94" s="8" t="str">
        <x:v>local_development_plan</x:v>
      </x:c>
      <x:c r="E94" s="18" t="n">
        <x:v>300</x:v>
      </x:c>
      <x:c r="F94" s="18" t="n">
        <x:v>308517</x:v>
      </x:c>
      <x:c r="G94" s="18" t="n">
        <x:v>15</x:v>
      </x:c>
      <x:c r="H94" s="8" t="str">
        <x:v>keyword_scan_only</x:v>
      </x:c>
      <x:c r="I94" s="8" t="str"/>
      <x:c r="J94" s="8" t="str">
        <x:v>6b89ff0349a3f923f15e726e843da6bccff04d2ec6675a575f61a01dda1bc4ce</x:v>
      </x:c>
      <x:c r="K94" s="8" t="str">
        <x:v>Welimada Development Plan 2023 – 2033 1 Welimada Town Development Plan 2023-2024 Urban Development Authority Uva Provincial Office Badulla 2023-2033 Welimada Development Plan 2023-2033 Urban Development Authority Uva Provincial Office Badulla Welimada Development Plan 2023 – 2033 1 Welimada Urban Development Plan 2023 – 2033 Urban Development Autho</x:v>
      </x:c>
      <x:c r="L94" s="8" t="str">
        <x:v>Current legal applicability not established. Sinhala/Tamil and scanned pages need visual/OCR review.</x:v>
      </x:c>
      <x:c r="M94" s="8" t="str">
        <x:v>SRC_6b89ff0349a3</x:v>
      </x:c>
    </x:row>
    <x:row r="95" ht="126" customHeight="1">
      <x:c r="A95" s="11" t="str">
        <x:v>SRC_0094</x:v>
      </x:c>
      <x:c r="B95" s="11" t="str">
        <x:v>Wellawaya_E_20240913.pdf</x:v>
      </x:c>
      <x:c r="C95" s="11" t="str"/>
      <x:c r="D95" s="11" t="str">
        <x:v>local_development_plan</x:v>
      </x:c>
      <x:c r="E95" s="22" t="n">
        <x:v>366</x:v>
      </x:c>
      <x:c r="F95" s="22" t="n">
        <x:v>459512</x:v>
      </x:c>
      <x:c r="G95" s="22" t="n">
        <x:v>15</x:v>
      </x:c>
      <x:c r="H95" s="11" t="str">
        <x:v>keyword_scan_only</x:v>
      </x:c>
      <x:c r="I95" s="11" t="str"/>
      <x:c r="J95" s="11" t="str">
        <x:v>e5f0f2b46169f6a4b167b6465dea73fd2c80097860e9177ea7e1ced75be359e0</x:v>
      </x:c>
      <x:c r="K95" s="11" t="str">
        <x:v> Wellawaya Development Plan 2023 - 2033 Page | 1 Wellawaya Development Plan 2023 - 2033 Page | 2 Wellawaya Development Plan 2023-2033 Urban Development Authority- Sri Lanka - 2023 All rights reserved. No part of this document may be reproduced or transmitted in any form or by any means, electronic or mechanical, including photocopying or recording </x:v>
      </x:c>
      <x:c r="L95" s="11" t="str">
        <x:v>Current legal applicability not established. Sinhala/Tamil and scanned pages need visual/OCR review.</x:v>
      </x:c>
      <x:c r="M95" s="11" t="str">
        <x:v>SRC_e5f0f2b46169</x:v>
      </x:c>
    </x:row>
    <x:row r="96" ht="70" customHeight="1">
      <x:c r="A96" s="8" t="str">
        <x:v>SRC_0095</x:v>
      </x:c>
      <x:c r="B96" s="8" t="str">
        <x:v>Y2bU8sq5fN.pdf</x:v>
      </x:c>
      <x:c r="C96" s="8" t="str"/>
      <x:c r="D96" s="8" t="str">
        <x:v>local_development_plan</x:v>
      </x:c>
      <x:c r="E96" s="18" t="n">
        <x:v>3</x:v>
      </x:c>
      <x:c r="F96" s="18" t="n">
        <x:v>0</x:v>
      </x:c>
      <x:c r="G96" s="18" t="n">
        <x:v>0</x:v>
      </x:c>
      <x:c r="H96" s="8" t="str">
        <x:v>keyword_scan_only</x:v>
      </x:c>
      <x:c r="I96" s="8" t="str"/>
      <x:c r="J96" s="8" t="str">
        <x:v>592578aef5d6dbdfed88fde0e3eedef737c1e597279a3f7577714e2ff09d6fcf</x:v>
      </x:c>
      <x:c r="K96" s="8" t="str">
        <x:v>   </x:v>
      </x:c>
      <x:c r="L96" s="8" t="str">
        <x:v>Current legal applicability not established. Sinhala/Tamil and scanned pages need visual/OCR review.</x:v>
      </x:c>
      <x:c r="M96" s="8" t="str">
        <x:v>SRC_592578aef5d6</x:v>
      </x:c>
    </x:row>
    <x:row r="97" ht="112" customHeight="1">
      <x:c r="A97" s="11" t="str">
        <x:v>SRC_0096</x:v>
      </x:c>
      <x:c r="B97" s="11" t="str">
        <x:v>ampara_s_2024-20233.pdf</x:v>
      </x:c>
      <x:c r="C97" s="11" t="str"/>
      <x:c r="D97" s="11" t="str">
        <x:v>local_development_plan</x:v>
      </x:c>
      <x:c r="E97" s="22" t="n">
        <x:v>281</x:v>
      </x:c>
      <x:c r="F97" s="22" t="n">
        <x:v>309028</x:v>
      </x:c>
      <x:c r="G97" s="22" t="n">
        <x:v>0</x:v>
      </x:c>
      <x:c r="H97" s="11" t="str">
        <x:v>keyword_scan_only</x:v>
      </x:c>
      <x:c r="I97" s="11" t="str"/>
      <x:c r="J97" s="11" t="str">
        <x:v>ca1108198dfc857b0dcc74fd7aec588e9dc60c07477024a2426e1a61bb5ec7b9</x:v>
      </x:c>
      <x:c r="K97" s="11" t="str">
        <x:v>අම්පාර සංවර්ධන සැලැස්ම (2024-2033) I අම්පාර සංවර්ධන සැලැස්ම (2024-2033) “නාගරික ක්ෂ්ම භූමි්ේ නැගීම” නාගරික සංවර්ධන අධිකාරිය නාගරික සංවර්ධන හා නිවාස අමාත්‍ාංශය අම්පාර සංවර්ධන සැලැස්ම (2024-2033) II අම්පාර සංවර්ධන සැලැස්ම (2024-2033) III අම්පාර සංවර්ධන සැලැස්ම (2024-2033) නාගරික සංවර්ධන අධිකාරිය නාගරික සංවර්ධන හා නිවාස අමාත්‍ාංශය </x:v>
      </x:c>
      <x:c r="L97" s="11" t="str">
        <x:v>Current legal applicability not established. Sinhala/Tamil and scanned pages need visual/OCR review.</x:v>
      </x:c>
      <x:c r="M97" s="11" t="str">
        <x:v>SRC_ca1108198dfc</x:v>
      </x:c>
    </x:row>
    <x:row r="98" ht="126" customHeight="1">
      <x:c r="A98" s="8" t="str">
        <x:v>SRC_0097</x:v>
      </x:c>
      <x:c r="B98" s="8" t="str">
        <x:v>beddde_2025_S.pdf</x:v>
      </x:c>
      <x:c r="C98" s="8" t="str"/>
      <x:c r="D98" s="8" t="str">
        <x:v>local_development_plan</x:v>
      </x:c>
      <x:c r="E98" s="18" t="n">
        <x:v>332</x:v>
      </x:c>
      <x:c r="F98" s="18" t="n">
        <x:v>419539</x:v>
      </x:c>
      <x:c r="G98" s="18" t="n">
        <x:v>0</x:v>
      </x:c>
      <x:c r="H98" s="8" t="str">
        <x:v>keyword_scan_only</x:v>
      </x:c>
      <x:c r="I98" s="8" t="str"/>
      <x:c r="J98" s="8" t="str">
        <x:v>6b751c73500a3a28fe8f5fc298242b906d04f5af40d3366aee41db2f2aef888c</x:v>
      </x:c>
      <x:c r="K98" s="8" t="str">
        <x:v> බද්දද්ගම ප්‍රාදද්ශීය සභා සංවර්ධන සැලැස්ම 2024-2033 i බද්දද්ගම ප්‍රාදද්ශීය සභා බල ප්‍රදද්ශය සංවර්ධන සැලැස්ම 2024-2033 නාගරික සංවර්ධන අධිකාරිය ගාල්ල දිස්ත්‍රික් කාර්යාලය බද්දද්ගම ප්‍රාදද්ශීය සභා සංවර්ධන සැලැස්ම 2024-2033 i බද්දද්ගම ප්‍රාදද්ශීය සභා සංවර්ධන සැලැස්ම 2024 -2033 නාගරික සංවර්ධන අධිකාරිය - ශී ලංකාව - 2024 සියලුම හිමිකම් ඇවිරිණි. දමම ප්‍රකා</x:v>
      </x:c>
      <x:c r="L98" s="8" t="str">
        <x:v>Current legal applicability not established. Sinhala/Tamil and scanned pages need visual/OCR review.</x:v>
      </x:c>
      <x:c r="M98" s="8" t="str">
        <x:v>SRC_6b751c73500a</x:v>
      </x:c>
    </x:row>
    <x:row r="99" ht="98" customHeight="1">
      <x:c r="A99" s="11" t="str">
        <x:v>SRC_0098</x:v>
      </x:c>
      <x:c r="B99" s="11" t="str">
        <x:v>beira_lake-English.pdf</x:v>
      </x:c>
      <x:c r="C99" s="11" t="str"/>
      <x:c r="D99" s="11" t="str">
        <x:v>local_development_plan</x:v>
      </x:c>
      <x:c r="E99" s="22" t="n">
        <x:v>200</x:v>
      </x:c>
      <x:c r="F99" s="22" t="n">
        <x:v>153128</x:v>
      </x:c>
      <x:c r="G99" s="22" t="n">
        <x:v>114</x:v>
      </x:c>
      <x:c r="H99" s="11" t="str">
        <x:v>keyword_scan_only</x:v>
      </x:c>
      <x:c r="I99" s="11" t="str"/>
      <x:c r="J99" s="11" t="str">
        <x:v>e74fc003e4d524e29f463783a0b292d7ef1fafd91a79053b378bcde798340ee3</x:v>
      </x:c>
      <x:c r="K99" s="11" t="str">
        <x:v>Beira Lake Intervention Area Development Guide Plan (2022–2031) Urban Development Authority Ministry of Urban Development and Housing  Beira Lake Intervention Area Development Guide Plan (2022–2031) Urban Development Authority Ministry of Urban Development and Housing </x:v>
      </x:c>
      <x:c r="L99" s="11" t="str">
        <x:v>Current legal applicability not established. Sinhala/Tamil and scanned pages need visual/OCR review.</x:v>
      </x:c>
      <x:c r="M99" s="11" t="str">
        <x:v>SRC_e74fc003e4d5</x:v>
      </x:c>
    </x:row>
    <x:row r="100" ht="70" customHeight="1">
      <x:c r="A100" s="8" t="str">
        <x:v>SRC_0099</x:v>
      </x:c>
      <x:c r="B100" s="8" t="str">
        <x:v>cityofColombo.pdf</x:v>
      </x:c>
      <x:c r="C100" s="8" t="str"/>
      <x:c r="D100" s="8" t="str">
        <x:v>local_development_plan</x:v>
      </x:c>
      <x:c r="E100" s="18" t="n">
        <x:v>107</x:v>
      </x:c>
      <x:c r="F100" s="18" t="n">
        <x:v>178828</x:v>
      </x:c>
      <x:c r="G100" s="18" t="n">
        <x:v>32</x:v>
      </x:c>
      <x:c r="H100" s="8" t="str">
        <x:v>selected_pages_reviewed</x:v>
      </x:c>
      <x:c r="I100" s="8" t="str"/>
      <x:c r="J100" s="8" t="str">
        <x:v>5a4a1d5d671e7f3b9006603c107d10adeed7677c3bc27da622d2972970958c9c</x:v>
      </x:c>
      <x:c r="K100" s="8" t="str">
        <x:v> 1 2 </x:v>
      </x:c>
      <x:c r="L100" s="8" t="str">
        <x:v>Current legal applicability not established. Sinhala/Tamil and scanned pages need visual/OCR review.</x:v>
      </x:c>
      <x:c r="M100" s="8" t="str">
        <x:v>SRC_5a4a1d5d671e</x:v>
      </x:c>
    </x:row>
    <x:row r="101" ht="70" customHeight="1">
      <x:c r="A101" s="11" t="str">
        <x:v>SRC_0100</x:v>
      </x:c>
      <x:c r="B101" s="11" t="str">
        <x:v>colombo.pdf</x:v>
      </x:c>
      <x:c r="C101" s="11" t="str"/>
      <x:c r="D101" s="11" t="str">
        <x:v>single_page_needs_visual_review</x:v>
      </x:c>
      <x:c r="E101" s="22" t="n">
        <x:v>1</x:v>
      </x:c>
      <x:c r="F101" s="22" t="n">
        <x:v>0</x:v>
      </x:c>
      <x:c r="G101" s="22" t="n">
        <x:v>0</x:v>
      </x:c>
      <x:c r="H101" s="11" t="str">
        <x:v>keyword_scan_only</x:v>
      </x:c>
      <x:c r="I101" s="11" t="str"/>
      <x:c r="J101" s="11" t="str">
        <x:v>0ea3c810a2a2fd59026f7697083b2751d192a5e0cc496b3ed9e00ac1bab9a6fc</x:v>
      </x:c>
      <x:c r="K101" s="11" t="str">
        <x:v> </x:v>
      </x:c>
      <x:c r="L101" s="11" t="str">
        <x:v>Current legal applicability not established. Sinhala/Tamil and scanned pages need visual/OCR review.</x:v>
      </x:c>
      <x:c r="M101" s="11" t="str">
        <x:v>SRC_0ea3c810a2a2</x:v>
      </x:c>
    </x:row>
    <x:row r="102" ht="112" customHeight="1">
      <x:c r="A102" s="8" t="str">
        <x:v>SRC_0101</x:v>
      </x:c>
      <x:c r="B102" s="8" t="str">
        <x:v>colombo_eng.pdf</x:v>
      </x:c>
      <x:c r="C102" s="8" t="str"/>
      <x:c r="D102" s="8" t="str">
        <x:v>local_development_plan</x:v>
      </x:c>
      <x:c r="E102" s="18" t="n">
        <x:v>462</x:v>
      </x:c>
      <x:c r="F102" s="18" t="n">
        <x:v>546238</x:v>
      </x:c>
      <x:c r="G102" s="18" t="n">
        <x:v>17</x:v>
      </x:c>
      <x:c r="H102" s="8" t="str">
        <x:v>keyword_scan_only</x:v>
      </x:c>
      <x:c r="I102" s="8" t="str"/>
      <x:c r="J102" s="8" t="str">
        <x:v>eee5bb470d14649f626af2ff2958026f51843065272856015c1fea66d7d834c7</x:v>
      </x:c>
      <x:c r="K102" s="8" t="str">
        <x:v>City of Colombo Development Plan 2022–2031 Aquarina : The City in Water of South Asia Uban Development Authority Ministry of Urban Development and Housing  City of Colombo Uban Development Authority Ministry of Urban Development and Housing “Aquarina : The City in Water of South Asia” Development Plan 2022–2031 </x:v>
      </x:c>
      <x:c r="L102" s="8" t="str">
        <x:v>Current legal applicability not established. Sinhala/Tamil and scanned pages need visual/OCR review.</x:v>
      </x:c>
      <x:c r="M102" s="8" t="str">
        <x:v>SRC_eee5bb470d14</x:v>
      </x:c>
    </x:row>
    <x:row r="103" ht="70" customHeight="1">
      <x:c r="A103" s="11" t="str">
        <x:v>SRC_0102</x:v>
      </x:c>
      <x:c r="B103" s="11" t="str">
        <x:v>dHEhiLkv73.pdf</x:v>
      </x:c>
      <x:c r="C103" s="11" t="str"/>
      <x:c r="D103" s="11" t="str">
        <x:v>local_development_plan</x:v>
      </x:c>
      <x:c r="E103" s="22" t="n">
        <x:v>20</x:v>
      </x:c>
      <x:c r="F103" s="22" t="n">
        <x:v>0</x:v>
      </x:c>
      <x:c r="G103" s="22" t="n">
        <x:v>0</x:v>
      </x:c>
      <x:c r="H103" s="11" t="str">
        <x:v>keyword_scan_only</x:v>
      </x:c>
      <x:c r="I103" s="11" t="str"/>
      <x:c r="J103" s="11" t="str">
        <x:v>2327d48fda614bfa6f15e9473fc5cf4b59e63e4e7eb9a5fd503e1be65476b92a</x:v>
      </x:c>
      <x:c r="K103" s="11" t="str">
        <x:v>   </x:v>
      </x:c>
      <x:c r="L103" s="11" t="str">
        <x:v>Current legal applicability not established. Sinhala/Tamil and scanned pages need visual/OCR review.</x:v>
      </x:c>
      <x:c r="M103" s="11" t="str">
        <x:v>SRC_2327d48fda61</x:v>
      </x:c>
    </x:row>
    <x:row r="104" ht="70" customHeight="1">
      <x:c r="A104" s="8" t="str">
        <x:v>SRC_0103</x:v>
      </x:c>
      <x:c r="B104" s="8" t="str">
        <x:v>dehiwala.pdf</x:v>
      </x:c>
      <x:c r="C104" s="8" t="str"/>
      <x:c r="D104" s="8" t="str">
        <x:v>single_page_needs_visual_review</x:v>
      </x:c>
      <x:c r="E104" s="18" t="n">
        <x:v>1</x:v>
      </x:c>
      <x:c r="F104" s="18" t="n">
        <x:v>0</x:v>
      </x:c>
      <x:c r="G104" s="18" t="n">
        <x:v>0</x:v>
      </x:c>
      <x:c r="H104" s="8" t="str">
        <x:v>keyword_scan_only</x:v>
      </x:c>
      <x:c r="I104" s="8" t="str"/>
      <x:c r="J104" s="8" t="str">
        <x:v>e880607aab44562da657a538ea32390daf6dbd19d573677fef75f4146c11573b</x:v>
      </x:c>
      <x:c r="K104" s="8" t="str">
        <x:v> </x:v>
      </x:c>
      <x:c r="L104" s="8" t="str">
        <x:v>Current legal applicability not established. Sinhala/Tamil and scanned pages need visual/OCR review.</x:v>
      </x:c>
      <x:c r="M104" s="8" t="str">
        <x:v>SRC_e880607aab44</x:v>
      </x:c>
    </x:row>
    <x:row r="105" ht="126" customHeight="1">
      <x:c r="A105" s="11" t="str">
        <x:v>SRC_0104</x:v>
      </x:c>
      <x:c r="B105" s="11" t="str">
        <x:v>gallport.pdf</x:v>
      </x:c>
      <x:c r="C105" s="11" t="str"/>
      <x:c r="D105" s="11" t="str">
        <x:v>local_development_plan</x:v>
      </x:c>
      <x:c r="E105" s="22" t="n">
        <x:v>45</x:v>
      </x:c>
      <x:c r="F105" s="22" t="n">
        <x:v>71774</x:v>
      </x:c>
      <x:c r="G105" s="22" t="n">
        <x:v>0</x:v>
      </x:c>
      <x:c r="H105" s="11" t="str">
        <x:v>keyword_scan_only</x:v>
      </x:c>
      <x:c r="I105" s="11" t="str"/>
      <x:c r="J105" s="11" t="str">
        <x:v>4880f6a77b5d320b977f09274e9e1be09f333c860c9744f06936cee1ea851d5e</x:v>
      </x:c>
      <x:c r="K105" s="11" t="str">
        <x:v>i ගාලු ක ාටුව පුරාවිද්‍යා සංරක්ෂණ ලාපය නාගරි සංවර්ධන අධි ාරිය ගාලු ක ාටුව පුරාවිද්‍යා සංරක්ෂණ ලාපය සැලසුම් නිකයෝග සහ නියමතා නාගරි සංවර්ධන අධි ාරිය නාගරි සංවර්ධන හා නිවාස අමාතයංශය ii ගාලු ක ාටුව පුරාවිද්‍යා සංරක්ෂණ ලාපය නාගරි සංවර්ධන අධි ාරිය සැලසුම් නිය ෝග සහ නි මතා ගාලු ය ාටුව පුරාවිද්‍යා සංරක්ෂණ ලාප නාගරි සංවර්ධන හා නිවාස අමාතයංශය නාගරි සංවර්ධන අ</x:v>
      </x:c>
      <x:c r="L105" s="11" t="str">
        <x:v>Current legal applicability not established. Sinhala/Tamil and scanned pages need visual/OCR review.</x:v>
      </x:c>
      <x:c r="M105" s="11" t="str">
        <x:v>SRC_4880f6a77b5d</x:v>
      </x:c>
    </x:row>
    <x:row r="106" ht="126" customHeight="1">
      <x:c r="A106" s="8" t="str">
        <x:v>SRC_0105</x:v>
      </x:c>
      <x:c r="B106" s="8" t="str">
        <x:v>gydTyyW4r4.pdf</x:v>
      </x:c>
      <x:c r="C106" s="8" t="str"/>
      <x:c r="D106" s="8" t="str">
        <x:v>local_development_plan</x:v>
      </x:c>
      <x:c r="E106" s="18" t="n">
        <x:v>3</x:v>
      </x:c>
      <x:c r="F106" s="18" t="n">
        <x:v>4564</x:v>
      </x:c>
      <x:c r="G106" s="18" t="n">
        <x:v>0</x:v>
      </x:c>
      <x:c r="H106" s="8" t="str">
        <x:v>keyword_scan_only</x:v>
      </x:c>
      <x:c r="I106" s="8" t="str"/>
      <x:c r="J106" s="8" t="str">
        <x:v>f50e107c0c7c1e84723726bd2ccbe3b1d1caf66dfdd4ff203824bf886c68903c</x:v>
      </x:c>
      <x:c r="K106" s="8" t="str">
        <x:v>wxl 2206$11 - 2020 foieïn¾ ui 15 jeks wÕyrejdod - 2020'12'15 ^rcfha n,hmsg m%isoaO lrk ,oS&amp; I jeks fldgi: (I) jeks fPoh - idudkH rcfha ksfõok Y%S ,xld m%cd;dka;%sl iudcjd§ ckrcfha .eiÜ m;%h w;s úfYI ' 1A - G 0000 — 00 (2020/12) fuu w;s úfYI .eiÜ m;%h www.documents.gov.lk fjí wvúfhka nd.; l&lt; yel wxl 2129/94, 2129/95, 2129/96 iy 2019 cqks 28 Þ;u ork </x:v>
      </x:c>
      <x:c r="L106" s="8" t="str">
        <x:v>Current legal applicability not established. Sinhala/Tamil and scanned pages need visual/OCR review.</x:v>
      </x:c>
      <x:c r="M106" s="8" t="str">
        <x:v>SRC_f50e107c0c7c</x:v>
      </x:c>
    </x:row>
    <x:row r="107" ht="112" customHeight="1">
      <x:c r="A107" s="11" t="str">
        <x:v>SRC_0106</x:v>
      </x:c>
      <x:c r="B107" s="11" t="str">
        <x:v>hikka_2025_E.pdf</x:v>
      </x:c>
      <x:c r="C107" s="11" t="str"/>
      <x:c r="D107" s="11" t="str">
        <x:v>local_development_plan</x:v>
      </x:c>
      <x:c r="E107" s="22" t="n">
        <x:v>382</x:v>
      </x:c>
      <x:c r="F107" s="22" t="n">
        <x:v>513545</x:v>
      </x:c>
      <x:c r="G107" s="22" t="n">
        <x:v>14</x:v>
      </x:c>
      <x:c r="H107" s="11" t="str">
        <x:v>keyword_scan_only</x:v>
      </x:c>
      <x:c r="I107" s="11" t="str"/>
      <x:c r="J107" s="11" t="str">
        <x:v>e51203384505f1ad5aa5a43ef0cb6c4ced9e4cc0af92459ca69d2febccff2e7f</x:v>
      </x:c>
      <x:c r="K107" s="11" t="str">
        <x:v>1 2 i HIKKADUWA DEVELOPMENT PLAN 2024-2033 The Vibrant Turquoise A tourism destination on South Coast, where you can experience the colorful corals, feel the shades of ocean green &amp; enjoy delightful vibe Southern Provincial Office Urban Development Authority Minister of Urban Development, Construction and Housing </x:v>
      </x:c>
      <x:c r="L107" s="11" t="str">
        <x:v>Current legal applicability not established. Sinhala/Tamil and scanned pages need visual/OCR review.</x:v>
      </x:c>
      <x:c r="M107" s="11" t="str">
        <x:v>SRC_e51203384505</x:v>
      </x:c>
    </x:row>
    <x:row r="108" ht="70" customHeight="1">
      <x:c r="A108" s="8" t="str">
        <x:v>SRC_0107</x:v>
      </x:c>
      <x:c r="B108" s="8" t="str">
        <x:v>homagama_dev_plan_eng.pdf</x:v>
      </x:c>
      <x:c r="C108" s="8" t="str"/>
      <x:c r="D108" s="8" t="str">
        <x:v>local_development_plan</x:v>
      </x:c>
      <x:c r="E108" s="18" t="n">
        <x:v>408</x:v>
      </x:c>
      <x:c r="F108" s="18" t="n">
        <x:v>538524</x:v>
      </x:c>
      <x:c r="G108" s="18" t="n">
        <x:v>11</x:v>
      </x:c>
      <x:c r="H108" s="8" t="str">
        <x:v>keyword_scan_only</x:v>
      </x:c>
      <x:c r="I108" s="8" t="str"/>
      <x:c r="J108" s="8" t="str">
        <x:v>b41e35d823060654d701eb6a02370a0256101966b2017cc370266fdc57415652</x:v>
      </x:c>
      <x:c r="K108" s="8" t="str">
        <x:v>  I Homagama Development Plan 2022–2031 Urban Development Authority Ministry of Urban Development &amp; Housing </x:v>
      </x:c>
      <x:c r="L108" s="8" t="str">
        <x:v>Current legal applicability not established. Sinhala/Tamil and scanned pages need visual/OCR review.</x:v>
      </x:c>
      <x:c r="M108" s="8" t="str">
        <x:v>SRC_b41e35d82306</x:v>
      </x:c>
    </x:row>
    <x:row r="109" ht="70" customHeight="1">
      <x:c r="A109" s="11" t="str">
        <x:v>SRC_0108</x:v>
      </x:c>
      <x:c r="B109" s="11" t="str">
        <x:v>kesbewa_DP_sin.pdf</x:v>
      </x:c>
      <x:c r="C109" s="11" t="str"/>
      <x:c r="D109" s="11" t="str">
        <x:v>local_development_plan</x:v>
      </x:c>
      <x:c r="E109" s="22" t="n">
        <x:v>362</x:v>
      </x:c>
      <x:c r="F109" s="22" t="n">
        <x:v>454419</x:v>
      </x:c>
      <x:c r="G109" s="22" t="n">
        <x:v>0</x:v>
      </x:c>
      <x:c r="H109" s="11" t="str">
        <x:v>keyword_scan_only</x:v>
      </x:c>
      <x:c r="I109" s="11" t="str"/>
      <x:c r="J109" s="11" t="str">
        <x:v>0db2b6f1ba6aa43dd080211554861a3b2d937d0d641b32db39a264bf7025c2e0</x:v>
      </x:c>
      <x:c r="K109" s="11" t="str">
        <x:v>  කැැස්බෑෑව නාාගරික සංංවර්ධන අධිකාාරිය නාාගරික සංංවර්ධන හාා නිවාාස අමාාත්‍යං]ංශය සංංවර්ධන සැැලැැස්ම 2022–2032 </x:v>
      </x:c>
      <x:c r="L109" s="11" t="str">
        <x:v>Current legal applicability not established. Sinhala/Tamil and scanned pages need visual/OCR review.</x:v>
      </x:c>
      <x:c r="M109" s="11" t="str">
        <x:v>SRC_0db2b6f1ba6a</x:v>
      </x:c>
    </x:row>
    <x:row r="110" ht="126" customHeight="1">
      <x:c r="A110" s="8" t="str">
        <x:v>SRC_0109</x:v>
      </x:c>
      <x:c r="B110" s="8" t="str">
        <x:v>kotte_development_plan_Eng.pdf.pdf</x:v>
      </x:c>
      <x:c r="C110" s="8" t="str"/>
      <x:c r="D110" s="8" t="str">
        <x:v>local_development_plan</x:v>
      </x:c>
      <x:c r="E110" s="18" t="n">
        <x:v>327</x:v>
      </x:c>
      <x:c r="F110" s="18" t="n">
        <x:v>528936</x:v>
      </x:c>
      <x:c r="G110" s="18" t="n">
        <x:v>7</x:v>
      </x:c>
      <x:c r="H110" s="8" t="str">
        <x:v>keyword_scan_only</x:v>
      </x:c>
      <x:c r="I110" s="8" t="str"/>
      <x:c r="J110" s="8" t="str">
        <x:v>72b9c78cac08e108e5b8f1b58b28117f7e1d5533652b4036217441708c66857d</x:v>
      </x:c>
      <x:c r="K110" s="8" t="str">
        <x:v>Sri Jayawardenepura Kotte MunicipalityArea 2022-2031 Urban Development Authority Ministry of Urban Development and Housing Development Plan Sri Jayawardenepura Kotte Municipality Area Development Plan 2022 - 2031 Urban Development Authority i Sri Jayawardenepura Kotte Municipality Area Development Plan 2022 - 2031 Volume I Urban Development Authori</x:v>
      </x:c>
      <x:c r="L110" s="8" t="str">
        <x:v>Current legal applicability not established. Sinhala/Tamil and scanned pages need visual/OCR review.</x:v>
      </x:c>
      <x:c r="M110" s="8" t="str">
        <x:v>SRC_72b9c78cac08</x:v>
      </x:c>
    </x:row>
    <x:row r="111" ht="70" customHeight="1">
      <x:c r="A111" s="11" t="str">
        <x:v>SRC_0110</x:v>
      </x:c>
      <x:c r="B111" s="11" t="str">
        <x:v>ldwYzHLafL.pdf</x:v>
      </x:c>
      <x:c r="C111" s="11" t="str"/>
      <x:c r="D111" s="11" t="str">
        <x:v>single_page_needs_visual_review</x:v>
      </x:c>
      <x:c r="E111" s="22" t="n">
        <x:v>1</x:v>
      </x:c>
      <x:c r="F111" s="22" t="n">
        <x:v>0</x:v>
      </x:c>
      <x:c r="G111" s="22" t="n">
        <x:v>0</x:v>
      </x:c>
      <x:c r="H111" s="11" t="str">
        <x:v>keyword_scan_only</x:v>
      </x:c>
      <x:c r="I111" s="11" t="str"/>
      <x:c r="J111" s="11" t="str">
        <x:v>c127a3c0d593b1bb4f24e2204f3207fdd6dec00554f85a82a559bfe4fb8a0c7d</x:v>
      </x:c>
      <x:c r="K111" s="11" t="str">
        <x:v> </x:v>
      </x:c>
      <x:c r="L111" s="11" t="str">
        <x:v>Current legal applicability not established. Sinhala/Tamil and scanned pages need visual/OCR review.</x:v>
      </x:c>
      <x:c r="M111" s="11" t="str">
        <x:v>SRC_c127a3c0d593</x:v>
      </x:c>
    </x:row>
    <x:row r="112" ht="70" customHeight="1">
      <x:c r="A112" s="8" t="str">
        <x:v>SRC_0111</x:v>
      </x:c>
      <x:c r="B112" s="8" t="str">
        <x:v>mawanella.pdf</x:v>
      </x:c>
      <x:c r="C112" s="8" t="str"/>
      <x:c r="D112" s="8" t="str">
        <x:v>single_page_needs_visual_review</x:v>
      </x:c>
      <x:c r="E112" s="18" t="n">
        <x:v>1</x:v>
      </x:c>
      <x:c r="F112" s="18" t="n">
        <x:v>0</x:v>
      </x:c>
      <x:c r="G112" s="18" t="n">
        <x:v>0</x:v>
      </x:c>
      <x:c r="H112" s="8" t="str">
        <x:v>keyword_scan_only</x:v>
      </x:c>
      <x:c r="I112" s="8" t="str"/>
      <x:c r="J112" s="8" t="str">
        <x:v>1ae01637d57c244335ad9bf96dbf1d7a044bed55c201bb663e99baf386cf4919</x:v>
      </x:c>
      <x:c r="K112" s="8" t="str">
        <x:v> </x:v>
      </x:c>
      <x:c r="L112" s="8" t="str">
        <x:v>Current legal applicability not established. Sinhala/Tamil and scanned pages need visual/OCR review.</x:v>
      </x:c>
      <x:c r="M112" s="8" t="str">
        <x:v>SRC_1ae01637d57c</x:v>
      </x:c>
    </x:row>
    <x:row r="113" ht="126" customHeight="1">
      <x:c r="A113" s="11" t="str">
        <x:v>SRC_0112</x:v>
      </x:c>
      <x:c r="B113" s="11" t="str">
        <x:v>mcK3c2YfvS.pdf</x:v>
      </x:c>
      <x:c r="C113" s="11" t="str"/>
      <x:c r="D113" s="11" t="str">
        <x:v>version_needs_verification</x:v>
      </x:c>
      <x:c r="E113" s="22" t="n">
        <x:v>163</x:v>
      </x:c>
      <x:c r="F113" s="22" t="n">
        <x:v>240189</x:v>
      </x:c>
      <x:c r="G113" s="22" t="n">
        <x:v>32</x:v>
      </x:c>
      <x:c r="H113" s="11" t="str">
        <x:v>keyword_scan_only</x:v>
      </x:c>
      <x:c r="I113" s="11" t="str"/>
      <x:c r="J113" s="11" t="str">
        <x:v>0fd126b9f1cdb98085851e0509efb4bc70222a3aed21cd1192cf11c5a8acf81a</x:v>
      </x:c>
      <x:c r="K113" s="11" t="str">
        <x:v>THE URBAN DEVELOPMENT AUTHORITY LAW, NO. 41 OF 1978 OF THE NATIONAL STATE ASSEMBLY REGULATIONS made by the Minister of Urban Development and Housing under section 21 of the Urban Development Authority Law No. 41 of 1978 of the National State Assembly read with Section 8 of the Urban Development Authority (Amendment) Act No. 4 of 1982. Mahinda Rajap</x:v>
      </x:c>
      <x:c r="L113" s="11" t="str">
        <x:v>Current legal applicability not established. Sinhala/Tamil and scanned pages need visual/OCR review.</x:v>
      </x:c>
      <x:c r="M113" s="11" t="str">
        <x:v>SRC_0fd126b9f1cd</x:v>
      </x:c>
    </x:row>
    <x:row r="114" ht="126" customHeight="1">
      <x:c r="A114" s="8" t="str">
        <x:v>SRC_0113</x:v>
      </x:c>
      <x:c r="B114" s="8" t="str">
        <x:v>rambukkana_dev_plan_sin.pdf</x:v>
      </x:c>
      <x:c r="C114" s="8" t="str"/>
      <x:c r="D114" s="8" t="str">
        <x:v>local_development_plan</x:v>
      </x:c>
      <x:c r="E114" s="18" t="n">
        <x:v>437</x:v>
      </x:c>
      <x:c r="F114" s="18" t="n">
        <x:v>538299</x:v>
      </x:c>
      <x:c r="G114" s="18" t="n">
        <x:v>0</x:v>
      </x:c>
      <x:c r="H114" s="8" t="str">
        <x:v>keyword_scan_only</x:v>
      </x:c>
      <x:c r="I114" s="8" t="str"/>
      <x:c r="J114" s="8" t="str">
        <x:v>1294d760d8463f41b9bfc1a25e5e3617ff475652b8139e610619b832ea65c3f8</x:v>
      </x:c>
      <x:c r="K114" s="8" t="str">
        <x:v>රඹුක්කන සංවර්ධන සැලැස්ම 2023 – 2033 “ශ්‍රී ලංකා කඳුරට පිවිසුමේ උද්දීප්ත කෘෂි මධයස්ථානය” නාගරික සංවර්ධන අධිකාරිය නාගරික සංවර්ධන හා නිවාස අමාත්‍ාංශය i රඹුක්කන සංවර්ධන සැලැස්ම 2023-2033 ©නාගරික සංවර්ධන අධිකාරිය - ශ්‍රී ලංකාව 2023 සියළුම හිමිකම් ඇවිරිණි මමම ප්‍රකාශය නාගරික සංවර්ධන අධිකාරිය විසින් ප්‍රකාශයට පත් මකමර්. මමම ප්‍රකාශය සම්ුර්ණමයන්ම මහෝ මකාටස</x:v>
      </x:c>
      <x:c r="L114" s="8" t="str">
        <x:v>Current legal applicability not established. Sinhala/Tamil and scanned pages need visual/OCR review.</x:v>
      </x:c>
      <x:c r="M114" s="8" t="str">
        <x:v>SRC_1294d760d846</x:v>
      </x:c>
    </x:row>
    <x:row r="115" ht="126" customHeight="1">
      <x:c r="A115" s="11" t="str">
        <x:v>SRC_0114</x:v>
      </x:c>
      <x:c r="B115" s="11" t="str">
        <x:v>svjKKqKG6J.pdf</x:v>
      </x:c>
      <x:c r="C115" s="11" t="str"/>
      <x:c r="D115" s="11" t="str">
        <x:v>local_development_plan</x:v>
      </x:c>
      <x:c r="E115" s="22" t="n">
        <x:v>11</x:v>
      </x:c>
      <x:c r="F115" s="22" t="n">
        <x:v>29360</x:v>
      </x:c>
      <x:c r="G115" s="22" t="n">
        <x:v>0</x:v>
      </x:c>
      <x:c r="H115" s="11" t="str">
        <x:v>keyword_scan_only</x:v>
      </x:c>
      <x:c r="I115" s="11" t="str"/>
      <x:c r="J115" s="11" t="str">
        <x:v>d45c4af714548725358110ff46f8b462ccc188ab6ef5be787a9e6fb373325b87</x:v>
      </x:c>
      <x:c r="K115" s="11" t="str">
        <x:v>I fldgi ( ^I&amp; fPoh - YS% ,xld m%cd;dka;s%l iudcjd§ ckrcfha w;s úfYI .eiÜ m;%h - 2019'01'09 PART I : SEC. (I) - GAZETTE EXTRAORDINARY OF THE DEMOCRATIC SOCIALIST REPUBLIC OF SRI LANKA - 09.01.2019 1A w;s úfYI wxl 2105$24- 2019 ckjdß ui 09 jeks nodod - 2019'01'09 No. 2105/24 - WEDNESDAY, JANUARY 09, 2019 EXTRAORDINARY The Gazette of the Democratic So</x:v>
      </x:c>
      <x:c r="L115" s="11" t="str">
        <x:v>Current legal applicability not established. Sinhala/Tamil and scanned pages need visual/OCR review.</x:v>
      </x:c>
      <x:c r="M115" s="11" t="str">
        <x:v>SRC_d45c4af71454</x:v>
      </x:c>
    </x:row>
    <x:row r="116" ht="126" customHeight="1">
      <x:c r="A116" s="8" t="str">
        <x:v>SRC_0115</x:v>
      </x:c>
      <x:c r="B116" s="8" t="str">
        <x:v>w2b2dUaUok.pdf</x:v>
      </x:c>
      <x:c r="C116" s="8" t="str"/>
      <x:c r="D116" s="8" t="str">
        <x:v>local_development_plan</x:v>
      </x:c>
      <x:c r="E116" s="18" t="n">
        <x:v>9</x:v>
      </x:c>
      <x:c r="F116" s="18" t="n">
        <x:v>14460</x:v>
      </x:c>
      <x:c r="G116" s="18" t="n">
        <x:v>0</x:v>
      </x:c>
      <x:c r="H116" s="8" t="str">
        <x:v>keyword_scan_only</x:v>
      </x:c>
      <x:c r="I116" s="8" t="str"/>
      <x:c r="J116" s="8" t="str">
        <x:v>213b4ac03ccb12d9441617295a6413046e4fd8220f57061f332a476a38b631d8</x:v>
      </x:c>
      <x:c r="K116" s="8" t="str">
        <x:v>GUIDELINES FOR WESTERN PROVINCE WETLANDS ZONING &amp; RELEVANT REGULATIONS FOR APPLICATION IN URBAN DEVELOPMENT PLAN PREPARATION Prepared by the Environment &amp; Landscape Division In consultation with other Divisions of the Urban Development Authority and all other Stakeholders such as Sri Lanka Land Reclamation &amp; Development Cooperation Central Environm</x:v>
      </x:c>
      <x:c r="L116" s="8" t="str">
        <x:v>Current legal applicability not established. Sinhala/Tamil and scanned pages need visual/OCR review.</x:v>
      </x:c>
      <x:c r="M116" s="8" t="str">
        <x:v>SRC_213b4ac03ccb</x:v>
      </x:c>
    </x:row>
  </x:sheetData>
  <x:pageMargins left="0.7" right="0.7" top="0.75" bottom="0.75" header="0.3" footer="0.3"/>
  <x:tableParts count="1">
    <x:tablePart xmlns:r="http://schemas.openxmlformats.org/officeDocument/2006/relationships" r:id="Rfb35337f3ed44025"/>
  </x:tableParts>
</x:worksheet>
</file>

<file path=xl/worksheets/sheet1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32" hidden="0" customWidth="1"/>
    <x:col min="4" max="4" width="22" hidden="0" customWidth="1"/>
    <x:col min="5" max="5" width="22" hidden="0" customWidth="1"/>
    <x:col min="6" max="6" width="62" hidden="0" customWidth="1"/>
    <x:col min="7" max="7" width="32" hidden="0" customWidth="1"/>
    <x:col min="8" max="8" width="22" hidden="0" customWidth="1"/>
    <x:col min="9" max="9" width="62" hidden="0" customWidth="1"/>
  </x:cols>
  <x:sheetData>
    <x:row r="1" ht="44" customHeight="1">
      <x:c r="A1" s="7" t="str">
        <x:v>candidate_id</x:v>
      </x:c>
      <x:c r="B1" s="7" t="str">
        <x:v>source_id</x:v>
      </x:c>
      <x:c r="C1" s="7" t="str">
        <x:v>document</x:v>
      </x:c>
      <x:c r="D1" s="17" t="str">
        <x:v>pdf_page</x:v>
      </x:c>
      <x:c r="E1" s="7" t="str">
        <x:v>matched_terms</x:v>
      </x:c>
      <x:c r="F1" s="7" t="str">
        <x:v>extracted_context</x:v>
      </x:c>
      <x:c r="G1" s="7" t="str">
        <x:v>verification_status</x:v>
      </x:c>
      <x:c r="H1" s="7" t="str">
        <x:v>use_for_solver</x:v>
      </x:c>
      <x:c r="I1" s="7" t="str">
        <x:v>limitation</x:v>
      </x:c>
    </x:row>
    <x:row r="2" ht="238" customHeight="1">
      <x:c r="A2" s="8" t="str">
        <x:v>C00001</x:v>
      </x:c>
      <x:c r="B2" s="8" t="str">
        <x:v>SRC_0001</x:v>
      </x:c>
      <x:c r="C2" s="8" t="str">
        <x:v>2235-54_E.pdf</x:v>
      </x:c>
      <x:c r="D2" s="18" t="n">
        <x:v>6</x:v>
      </x:c>
      <x:c r="E2" s="8" t="str">
        <x:v>light and ventilation</x:v>
      </x:c>
      <x:c r="F2" s="8" t="str">
        <x:v>t is subject to subdivision, amalgamation or development, the minimum requirements for open space, light and ventilation and other requirements for such building shall be in compliance with these regulations. (2) In any case where an existing building is divided due to the subdivision of a land, the Relevant Authority may request the Developer or his Agent to furnish a copy of the approved plan of such building. 16. A subdivided, amalgamated or developed land lots shall be utilized only for the purpose for which the Relevant Authority has granted approval, unless stated otherwise. 17. When subdivision, amalgamation or development of land is proposed for a particular site which adjoins a road, drain, river, any other water body or water sou</x:v>
      </x:c>
      <x:c r="G2" s="8" t="str">
        <x:v>candidate_unreviewed</x:v>
      </x:c>
      <x:c r="H2" s="21" t="b">
        <x:v>0</x:v>
      </x:c>
      <x:c r="I2" s="8" t="str">
        <x:v>Keyword extraction only. Read page image and full context before promoting. English search cannot exclude Sinhala/Tamil or image-only content.</x:v>
      </x:c>
    </x:row>
    <x:row r="3" ht="644" customHeight="1">
      <x:c r="A3" s="11" t="str">
        <x:v>C00002</x:v>
      </x:c>
      <x:c r="B3" s="11" t="str">
        <x:v>SRC_0001</x:v>
      </x:c>
      <x:c r="C3" s="11" t="str">
        <x:v>2235-54_E.pdf</x:v>
      </x:c>
      <x:c r="D3" s="22" t="n">
        <x:v>7</x:v>
      </x:c>
      <x:c r="E3" s="11" t="str">
        <x:v>minimum width</x:v>
      </x:c>
      <x:c r="F3" s="11" t="str">
        <x:v>point up to which the main Access Road serves, shall be served by the Access Roads which have the minimum width of 6.0m. (6) Every lot or site that is adjacent to the dead end of a road may have frontage less than the width specified in the regulations herein, essentially with a minimum width of 3.0m. 19. (1) Where Street Lines or Proposed Road Widths are not applicable for any Access Road of a land, subdivision of such land shall be made considering the existing physical width of the Access Road. (2) Where a land is accessed by a road having a specified Street Line or Proposed Road Width, the number of Lots in a subdivision of such land shall be decided based on the width of the Street Line or Proposed Road Width of the Access Road. W || road may have frontage less than the width specified in the regulations herein, essentially with a minimum width of 3.0m. 19. (1) Where Street Lines or Proposed Road Widths are not applicable for any Access Road of a land, subdivision of such land shall be made considering the existing physical width of the Access Road. (2) Where a land is accessed by a road having a specified Street Line or Proposed Road Width, the number of Lots in a subdivision of such land shall be decided based on the width of the Street Line or Proposed Road Width of the Access Road. Widening of such road shall be made according to the Street Line where Street Lines are applicable and if not equally on either side from the centre line of such road as per the Proposed R || of such road may be reduced, subject to the recommendation of the Planning Committee, if: a. the minimum width of 3.0 m is available in the access road; or b. the proposal is to improve the status of an underserved settlement. Provided that, every such street shall connect to a public or private road which has a width of not less than 6.0m and of which the owner possesses the right of way from such private road. The above reduction shall not apply for new land sub divisions. 20. The minimum width of an Access Road to a Lot in a new subdivision shall be in accordance with the Form B in Schedule 4 herein for residential uses. 21. (1) In subdivision of a land, an Access Road which is less t</x:v>
      </x:c>
      <x:c r="G3" s="11" t="str">
        <x:v>candidate_unreviewed</x:v>
      </x:c>
      <x:c r="H3" s="24" t="b">
        <x:v>0</x:v>
      </x:c>
      <x:c r="I3" s="11" t="str">
        <x:v>Keyword extraction only. Read page image and full context before promoting. English search cannot exclude Sinhala/Tamil or image-only content.</x:v>
      </x:c>
    </x:row>
    <x:row r="4" ht="126" customHeight="1">
      <x:c r="A4" s="8" t="str">
        <x:v>C00003</x:v>
      </x:c>
      <x:c r="B4" s="8" t="str">
        <x:v>SRC_0001</x:v>
      </x:c>
      <x:c r="C4" s="8" t="str">
        <x:v>2235-54_E.pdf</x:v>
      </x:c>
      <x:c r="D4" s="18" t="n">
        <x:v>8</x:v>
      </x:c>
      <x:c r="E4" s="8" t="str">
        <x:v>plot coverage</x:v>
      </x:c>
      <x:c r="F4" s="8" t="str">
        <x:v>pool and building for sports and recreational activities and community halls, subject to a maximum plot coverage of 25% and the maximum height of 5.0 m of such buildings. (3) In the event that the portion of land required to be reserved for community, recreation and open space uses of a subdivision does not exceed a land extent of 300 m2 (12 perches), alternatively to Regulation 23 (4) the</x:v>
      </x:c>
      <x:c r="G4" s="8" t="str">
        <x:v>candidate_unreviewed</x:v>
      </x:c>
      <x:c r="H4" s="21" t="b">
        <x:v>0</x:v>
      </x:c>
      <x:c r="I4" s="8" t="str">
        <x:v>Keyword extraction only. Read page image and full context before promoting. English search cannot exclude Sinhala/Tamil or image-only content.</x:v>
      </x:c>
    </x:row>
    <x:row r="5" ht="196" customHeight="1">
      <x:c r="A5" s="11" t="str">
        <x:v>C00004</x:v>
      </x:c>
      <x:c r="B5" s="11" t="str">
        <x:v>SRC_0001</x:v>
      </x:c>
      <x:c r="C5" s="11" t="str">
        <x:v>2235-54_E.pdf</x:v>
      </x:c>
      <x:c r="D5" s="22" t="n">
        <x:v>12</x:v>
      </x:c>
      <x:c r="E5" s="11" t="str">
        <x:v>staircase</x:v>
      </x:c>
      <x:c r="F5" s="11" t="str">
        <x:v>live loads that such floor slabs are designed to carry; (3) all Rooms, compartments, corridors, staircases, fire compartments, lift cores, verandas and roof terrace etc. of a building and the thickness of the wall and columns thereof; (4) separate units clearly marked in different colours (5) dimensions of every Air Well, backyard, courtyard and open spaces in and around the building and the distances from the External Walls of the building to the centre line of road/s, to the road reservations and to the drainage reservations within the lot or adjoining thereto; (6) dimensions of spaces between all walls, columns and piers;</x:v>
      </x:c>
      <x:c r="G5" s="11" t="str">
        <x:v>candidate_unreviewed</x:v>
      </x:c>
      <x:c r="H5" s="24" t="b">
        <x:v>0</x:v>
      </x:c>
      <x:c r="I5" s="11" t="str">
        <x:v>Keyword extraction only. Read page image and full context before promoting. English search cannot exclude Sinhala/Tamil or image-only content.</x:v>
      </x:c>
    </x:row>
    <x:row r="6" ht="238" customHeight="1">
      <x:c r="A6" s="8" t="str">
        <x:v>C00005</x:v>
      </x:c>
      <x:c r="B6" s="8" t="str">
        <x:v>SRC_0001</x:v>
      </x:c>
      <x:c r="C6" s="8" t="str">
        <x:v>2235-54_E.pdf</x:v>
      </x:c>
      <x:c r="D6" s="18" t="n">
        <x:v>13</x:v>
      </x:c>
      <x:c r="E6" s="8" t="str">
        <x:v>staircase</x:v>
      </x:c>
      <x:c r="F6" s="8" t="str">
        <x:v>uipment, and condensate water discharge locations; (11) allocated space for parking bays, ramps, staircases, landings, lift/ escalator pits, generators, electrical transformers, electrical distribution points, metering points, septic tanks, soakage pits, sewer treatment plants, water storage tank, appliances of centralised or decentralised hot water systems, appliances of central heating systems, service ducts, fuel storage, central point of LP Gas distribution, communication and network equipment, security and fire alarm equipment, security huts, and space for postal boxes etc.; (12) all pipes and appurtenance used for harvesting rainwater, their dimensions, locations and capacity of the storage and the direction of the flow of the wat</x:v>
      </x:c>
      <x:c r="G6" s="8" t="str">
        <x:v>candidate_unreviewed</x:v>
      </x:c>
      <x:c r="H6" s="21" t="b">
        <x:v>0</x:v>
      </x:c>
      <x:c r="I6" s="8" t="str">
        <x:v>Keyword extraction only. Read page image and full context before promoting. English search cannot exclude Sinhala/Tamil or image-only content.</x:v>
      </x:c>
    </x:row>
    <x:row r="7" ht="644" customHeight="1">
      <x:c r="A7" s="11" t="str">
        <x:v>C00006</x:v>
      </x:c>
      <x:c r="B7" s="11" t="str">
        <x:v>SRC_0001</x:v>
      </x:c>
      <x:c r="C7" s="11" t="str">
        <x:v>2235-54_E.pdf</x:v>
      </x:c>
      <x:c r="D7" s="22" t="n">
        <x:v>16</x:v>
      </x:c>
      <x:c r="E7" s="11" t="str">
        <x:v>minimum width, plot coverage</x:v>
      </x:c>
      <x:c r="F7" s="11" t="str">
        <x:v>extent of the land plot excluding the portion that falls within the street line/s. 48. The Plot Coverage; (1) where a gazetted Development Plan is available, shall comply with the requirements specified in such plan. However, the plot coverage of a building having a height of 50 m or more shall comply with the requirements specified in Form E as set out in Schedule 6 herein if such requirement is less than the requirement specified in the gazetted Development Plan or draft Development Plan or Development Guide Plan. (2) where a gazetted Development Plan is not available, shall comply with the requirements specified in Form E as set out in Schedule 6 herein. 49. The width of the Street Line shall be considered as the width of the || lopment Plan is available, shall comply with the requirements specified in such plan. However, the plot coverage of a building having a height of 50 m or more shall comply with the requirements specified in Form E as set out in Schedule 6 herein if such requirement is less than the requirement specified in the gazetted Development Plan or draft Development Plan or Development Guide Plan. (2) where a gazetted Development Plan is not available, shall comply with the requirements specified in Form E as set out in Schedule 6 herein. 49. The width of the Street Line shall be considered as the width of the access road for the purpose of computations of the Permissible Floor Area, where there is no Street Line which is applicable for a road, the e || ion of the Permissible Floor Area: (1) The land is facing two or more independent roads having minimum width of 6 m or more, the road frontage shall be considered as the sum of the road frontage facing the main access road and the portion(s) of road frontage of the other road(s) computed proportionate to the ratio between the width of the main access road to the width of the respective other road(s). (2) Where the land is facing two or more independent roads each having width less than 6 m, the road frontage shall be computed as the sum of the road frontage facing the main access road and the width(s) of the other road(s). (3) Where, the land is facing one or more by-roads of the main access roa</x:v>
      </x:c>
      <x:c r="G7" s="11" t="str">
        <x:v>candidate_unreviewed</x:v>
      </x:c>
      <x:c r="H7" s="24" t="b">
        <x:v>0</x:v>
      </x:c>
      <x:c r="I7" s="11" t="str">
        <x:v>Keyword extraction only. Read page image and full context before promoting. English search cannot exclude Sinhala/Tamil or image-only content.</x:v>
      </x:c>
    </x:row>
    <x:row r="8" ht="434" customHeight="1">
      <x:c r="A8" s="8" t="str">
        <x:v>C00007</x:v>
      </x:c>
      <x:c r="B8" s="8" t="str">
        <x:v>SRC_0001</x:v>
      </x:c>
      <x:c r="C8" s="8" t="str">
        <x:v>2235-54_E.pdf</x:v>
      </x:c>
      <x:c r="D8" s="18" t="n">
        <x:v>17</x:v>
      </x:c>
      <x:c r="E8" s="8" t="str">
        <x:v>setback, setbacks</x:v>
      </x:c>
      <x:c r="F8" s="8" t="str">
        <x:v>elopment activity shall be computed as set out in Schedule 5 herein. OPEN SPACES AND BUILDING SETBACKS 55. (1) Rear Space and Side Space of all proposed developments shall be maintained in conformity to the specifications given in the Form E as set out in Schedule 6. (2) In a development where an open space is intended to be provided on the site for the purpose of maintenance of the building or separating it from adjoining properties, such open space shall not be less than 1.0 m in width. (3) In case where a Building Line, a Street Line or any other road reservation is not prescribed for a particular road/s to which a plot of land is adjoining, the proposed building development in such plot of land shall maintain a 1.0 m Set || f land is adjoining, the proposed building development in such plot of land shall maintain a 1.0 m Setback from the edge of such road/s. (4) a. The 50% of the open space at outside of the building which is required to be maintained as per these regulations shall not be covered by any type of impermeable material but shall preferably be maintained as a green turf or be covered with appropriate soft landscape materials. b. A Landscape Plan for the proposed development prepared by a Qualified Person as set out in Schedule 3 shall be submitted where: i. such development exceeds 10,000m2 floor area; or ii. such development is proposed in a land which exceeds 1.0 hectare of land extent; or iii. such development is loc</x:v>
      </x:c>
      <x:c r="G8" s="8" t="str">
        <x:v>candidate_unreviewed</x:v>
      </x:c>
      <x:c r="H8" s="21" t="b">
        <x:v>0</x:v>
      </x:c>
      <x:c r="I8" s="8" t="str">
        <x:v>Keyword extraction only. Read page image and full context before promoting. English search cannot exclude Sinhala/Tamil or image-only content.</x:v>
      </x:c>
    </x:row>
    <x:row r="9" ht="644" customHeight="1">
      <x:c r="A9" s="11" t="str">
        <x:v>C00008</x:v>
      </x:c>
      <x:c r="B9" s="11" t="str">
        <x:v>SRC_0001</x:v>
      </x:c>
      <x:c r="C9" s="11" t="str">
        <x:v>2235-54_E.pdf</x:v>
      </x:c>
      <x:c r="D9" s="22" t="n">
        <x:v>19</x:v>
      </x:c>
      <x:c r="E9" s="11" t="str">
        <x:v>bathroom, bed room, habitable room, light and ventilation, schedule 7</x:v>
      </x:c>
      <x:c r="F9" s="11" t="str">
        <x:v>re, it may not be mandatory to provide the rear space. (4) Any construction that obstructs the light and ventilation of a rear space, mentioned in the Regulation 61 (1) and 61 (2) shall not be permitted except the open well and an additional spiral stairway for emergency exit. (5) A swimming pool which does not exceed 50% of the extent of the rear space shall be permitted where the width of the rear space is 3.0m or more. 62. Any covered/ uncovered footway, arcade or veranda of a building shall: a. be located only within the lot; and b. continue along the entire portion of the building abutting the street or be as directed by the Relevant Authority. 63. Where a building is erected at a junction of two streets and where the degree of || en space shall not be permitted. INTERNAL DIMENSIONS OF BUILDINGS 65. The floor area of any habitable room in a residential building shall be in accordance with the requirements specified in the Schedule 7 herein. 66. (1) The height of a building and the number of floors thereof shall be in accordance with the provisions of these regulations, unless otherwise specified in the Gazetted Development Plan or Draft Development Plan or Development Guide Plan or by a Relevant Institute. (2) Unless otherwise specified in a Gazetted Development Plan or Draft Development Plan or Development Guide Plan the maximum height of a building in an Existing Lot shall not exceed 10.0 m, where: a. the extent of the land is less than 150m2; o || table room in a residential building shall be in accordance with the requirements specified in the Schedule 7 herein. 66. (1) The height of a building and the number of floors thereof shall be in accordance with the provisions of these regulations, unless otherwise specified in the Gazetted Development Plan or Draft Development Plan or Development Guide Plan or by a Relevant Institute. (2) Unless otherwise specified in a Gazetted Development Plan or Draft Development Plan or Development Guide Plan the maximum height of a building in an Existing Lot shall not exceed 10.0 m, where: a. the extent of the land is less than 150m2; or b. the land gets access from a road where the width is less than 3.0 m; or c. the ro</x:v>
      </x:c>
      <x:c r="G9" s="11" t="str">
        <x:v>candidate_unreviewed</x:v>
      </x:c>
      <x:c r="H9" s="24" t="b">
        <x:v>0</x:v>
      </x:c>
      <x:c r="I9" s="11" t="str">
        <x:v>Keyword extraction only. Read page image and full context before promoting. English search cannot exclude Sinhala/Tamil or image-only content.</x:v>
      </x:c>
    </x:row>
    <x:row r="10" ht="434" customHeight="1">
      <x:c r="A10" s="8" t="str">
        <x:v>C00009</x:v>
      </x:c>
      <x:c r="B10" s="8" t="str">
        <x:v>SRC_0001</x:v>
      </x:c>
      <x:c r="C10" s="8" t="str">
        <x:v>2235-54_E.pdf</x:v>
      </x:c>
      <x:c r="D10" s="18" t="n">
        <x:v>20</x:v>
      </x:c>
      <x:c r="E10" s="8" t="str">
        <x:v>minimum width, schedule 8</x:v>
      </x:c>
      <x:c r="F10" s="8" t="str">
        <x:v>d. signboards or advertisement; or e. light bulbs, fans and similler elements 68. (1) The minimum width of the stairs and the minimum dimensions of treads and risers shall be in conformity with the specifications given in the Schedule 8. (2) a. Where a Building is not a Public Building, the minimum height of a hand rail shall be not less than 1.0 m. b. Where a Building is a Public Building, the minimum height of a hand rail shall be not less than 1.1 m. 69. (1) A vertical transportation system shall be designed and installed for buildings exceeding four floors or more than 15.0 m in height by the relevant Qualified Person as set out in Schedule 3 in compliance with required standards specified in Regulation 69 (2) to 69 (7). || inimum dimensions of treads and risers shall be in conformity with the specifications given in the Schedule 8. (2) a. Where a Building is not a Public Building, the minimum height of a hand rail shall be not less than 1.0 m. b. Where a Building is a Public Building, the minimum height of a hand rail shall be not less than 1.1 m. 69. (1) A vertical transportation system shall be designed and installed for buildings exceeding four floors or more than 15.0 m in height by the relevant Qualified Person as set out in Schedule 3 in compliance with required standards specified in Regulation 69 (2) to 69 (7). (2) A vertical transportation system shall be in compliance to relevant national and international safety standards. (3) A veriti</x:v>
      </x:c>
      <x:c r="G10" s="8" t="str">
        <x:v>candidate_unreviewed</x:v>
      </x:c>
      <x:c r="H10" s="21" t="b">
        <x:v>0</x:v>
      </x:c>
      <x:c r="I10" s="8" t="str">
        <x:v>Keyword extraction only. Read page image and full context before promoting. English search cannot exclude Sinhala/Tamil or image-only content.</x:v>
      </x:c>
    </x:row>
    <x:row r="11" ht="644" customHeight="1">
      <x:c r="A11" s="11" t="str">
        <x:v>C00010</x:v>
      </x:c>
      <x:c r="B11" s="11" t="str">
        <x:v>SRC_0001</x:v>
      </x:c>
      <x:c r="C11" s="11" t="str">
        <x:v>2235-54_E.pdf</x:v>
      </x:c>
      <x:c r="D11" s="22" t="n">
        <x:v>21</x:v>
      </x:c>
      <x:c r="E11" s="11" t="str">
        <x:v>light and ventilation</x:v>
      </x:c>
      <x:c r="F11" s="11" t="str">
        <x:v>same shall be forwarded along with the application for CoC as per the Regulation 83 (2) herein. LIGHT AND VENTILATION 70. (1) Every Building shall be provided with: a. natural lighting by one or more means eg: glazed windows, skylights, fanlights, doors or any other natural light transmitting media approved by the Relevant Authority; and b. natural ventilation by one or more means eg: windows, skylights, fanlights, doors, louvres or ventilation openings etc. (2) The distance between the means for natural light and ventilation in a Room of a building and the opposite boundary of the open space, shall be maintained as specified in the Form E of the Schedule 6 herein. (3) The dimensions of windows or openings of a building through which || doors, louvres or ventilation openings etc. (2) The distance between the means for natural light and ventilation in a Room of a building and the opposite boundary of the open space, shall be maintained as specified in the Form E of the Schedule 6 herein. (3) The dimensions of windows or openings of a building through which natural light and ventilation is obtained into a room or space shall be such that, the area of such windows and openings shall not be less than 1/5 of the floor area of such room or space and at least 50% of such openings or windows shall be openable. (4) Every such window or opening shall be openable to: a. an area which opens to sky; or b. a public road or a street from which the building has right of way; or c. a || chedule 6 herein. (3) The dimensions of windows or openings of a building through which natural light and ventilation is obtained into a room or space shall be such that, the area of such windows and openings shall not be less than 1/5 of the floor area of such room or space and at least 50% of such openings or windows shall be openable. (4) Every such window or opening shall be openable to: a. an area which opens to sky; or b. a public road or a street from which the building has right of way; or c. a courtyard, open space or Air well located within the building. (5) When the building is used for a Factory, workshop or Warehouse where there is no regular human habitation, no part of a Room in su</x:v>
      </x:c>
      <x:c r="G11" s="11" t="str">
        <x:v>candidate_unreviewed</x:v>
      </x:c>
      <x:c r="H11" s="24" t="b">
        <x:v>0</x:v>
      </x:c>
      <x:c r="I11" s="11" t="str">
        <x:v>Keyword extraction only. Read page image and full context before promoting. English search cannot exclude Sinhala/Tamil or image-only content.</x:v>
      </x:c>
    </x:row>
    <x:row r="12" ht="644" customHeight="1">
      <x:c r="A12" s="8" t="str">
        <x:v>C00011</x:v>
      </x:c>
      <x:c r="B12" s="8" t="str">
        <x:v>SRC_0001</x:v>
      </x:c>
      <x:c r="C12" s="8" t="str">
        <x:v>2235-54_E.pdf</x:v>
      </x:c>
      <x:c r="D12" s="18" t="n">
        <x:v>22</x:v>
      </x:c>
      <x:c r="E12" s="8" t="str">
        <x:v>bathroom, light and ventilation, schedule 9, staircase</x:v>
      </x:c>
      <x:c r="F12" s="8" t="str">
        <x:v>r porch to absorb external air. 71. (1) An air-well or a courtyard meant for obtaining natural light and ventilation for any Room/s or utility room/s shall comply with the requirements as set out in Schedule 9 herein. (2) The internal Air wells or courtyards provided for the purpose of natural light and ventilation shall not be obstructed. (3) Where the shortest side of the Air well is less than 5.0 m, overhangs, canopies, sun shading devices, eaves or balconies projected over such short side shall not exceed 0.5 m. (4) The floor of an internal courtyard shall either be paved or turfed and maintained as an internal garden with a proper drainage system. (5) The minimum distance between the means of natural light and ventilation fo || and ventilation for any Room/s or utility room/s shall comply with the requirements as set out in Schedule 9 herein. (2) The internal Air wells or courtyards provided for the purpose of natural light and ventilation shall not be obstructed. (3) Where the shortest side of the Air well is less than 5.0 m, overhangs, canopies, sun shading devices, eaves or balconies projected over such short side shall not exceed 0.5 m. (4) The floor of an internal courtyard shall either be paved or turfed and maintained as an internal garden with a proper drainage system. (5) The minimum distance between the means of natural light and ventilation for water-closets, toilets or bathrooms and the opposite boundary of the open space shall not b || edule 9 herein. (2) The internal Air wells or courtyards provided for the purpose of natural light and ventilation shall not be obstructed. (3) Where the shortest side of the Air well is less than 5.0 m, overhangs, canopies, sun shading devices, eaves or balconies projected over such short side shall not exceed 0.5 m. (4) The floor of an internal courtyard shall either be paved or turfed and maintained as an internal garden with a proper drainage system. (5) The minimum distance between the means of natural light and ventilation for water-closets, toilets or bathrooms and the opposite boundary of the open space shall not be less than 1.0 m. (6) Unless otherwise specified in the Code of Fire, the minimum dimension</x:v>
      </x:c>
      <x:c r="G12" s="8" t="str">
        <x:v>candidate_unreviewed</x:v>
      </x:c>
      <x:c r="H12" s="21" t="b">
        <x:v>0</x:v>
      </x:c>
      <x:c r="I12" s="8" t="str">
        <x:v>Keyword extraction only. Read page image and full context before promoting. English search cannot exclude Sinhala/Tamil or image-only content.</x:v>
      </x:c>
    </x:row>
    <x:row r="13" ht="224" customHeight="1">
      <x:c r="A13" s="11" t="str">
        <x:v>C00012</x:v>
      </x:c>
      <x:c r="B13" s="11" t="str">
        <x:v>SRC_0001</x:v>
      </x:c>
      <x:c r="C13" s="11" t="str">
        <x:v>2235-54_E.pdf</x:v>
      </x:c>
      <x:c r="D13" s="22" t="n">
        <x:v>23</x:v>
      </x:c>
      <x:c r="E13" s="11" t="str">
        <x:v>minimum width</x:v>
      </x:c>
      <x:c r="F13" s="11" t="str">
        <x:v>ermit, shall comply with the parking requirements specified in the Schedule 10 herein. (2) The minimum width of the aisles of the parking spaces and the dimensions of the parking stalls shall be in conformity to the standards specified in the Form A and Form B as set out in Schedule 11 herein respectively. (3) Where the Planning Committee deems that the provision of the parking space as specified in Regulation 73 (1) and 73 (2) is not practicable, a service charge shall be levied as set out in the Schedule 2 herein. (4) No parking space shall be permitted within the Building Line reservation. (5) a. Where the entry and exit points of a residential parking space are provided separately, the width of the access of each of such entry and</x:v>
      </x:c>
      <x:c r="G13" s="11" t="str">
        <x:v>candidate_unreviewed</x:v>
      </x:c>
      <x:c r="H13" s="24" t="b">
        <x:v>0</x:v>
      </x:c>
      <x:c r="I13" s="11" t="str">
        <x:v>Keyword extraction only. Read page image and full context before promoting. English search cannot exclude Sinhala/Tamil or image-only content.</x:v>
      </x:c>
    </x:row>
    <x:row r="14" ht="224" customHeight="1">
      <x:c r="A14" s="8" t="str">
        <x:v>C00013</x:v>
      </x:c>
      <x:c r="B14" s="8" t="str">
        <x:v>SRC_0001</x:v>
      </x:c>
      <x:c r="C14" s="8" t="str">
        <x:v>2235-54_E.pdf</x:v>
      </x:c>
      <x:c r="D14" s="18" t="n">
        <x:v>25</x:v>
      </x:c>
      <x:c r="E14" s="8" t="str">
        <x:v>bathroom</x:v>
      </x:c>
      <x:c r="F14" s="8" t="str">
        <x:v>OF SRI LANKA – 08.07.2021 c. to any washbasin, bidet, fixed bath or shower, or any other taps in a bathroom; and d. to any sink provided in any area where food is prepared or handled, and/or handwashing is needed for sanitation purposes; (2) There shall be a suitable installation for the provision of water of suitable quality: a. to any sanitary convenience fitted with a flushing device; b. (if needed only) to any purpose other than human consumption, such as irrigation, janitorial work, cleaning, washing, etc. c. An Alternative Water Source can be used for non-human consumption uses of water in buildings and other functional spaces if needed. However, if such dual water supplies are used combining water sources mentioned in Regulat</x:v>
      </x:c>
      <x:c r="G14" s="8" t="str">
        <x:v>candidate_unreviewed</x:v>
      </x:c>
      <x:c r="H14" s="21" t="b">
        <x:v>0</x:v>
      </x:c>
      <x:c r="I14" s="8" t="str">
        <x:v>Keyword extraction only. Read page image and full context before promoting. English search cannot exclude Sinhala/Tamil or image-only content.</x:v>
      </x:c>
    </x:row>
    <x:row r="15" ht="448" customHeight="1">
      <x:c r="A15" s="11" t="str">
        <x:v>C00014</x:v>
      </x:c>
      <x:c r="B15" s="11" t="str">
        <x:v>SRC_0001</x:v>
      </x:c>
      <x:c r="C15" s="11" t="str">
        <x:v>2235-54_E.pdf</x:v>
      </x:c>
      <x:c r="D15" s="22" t="n">
        <x:v>26</x:v>
      </x:c>
      <x:c r="E15" s="11" t="str">
        <x:v>bathroom, schedule 7</x:v>
      </x:c>
      <x:c r="F15" s="11" t="str">
        <x:v>provided together with adequate and reliable water supply. (2) The dimensions of every toilet, bathroom or combined bath and toilet of a building shall be in conformity with the specifications given in the Schedule 7 herein. (3) For non-domestic buildings, sanitary conveniences should be sited, designed and installed as appropriate for each gender and age and for differently abled persons so as to protect and promote personal hygiene of occupants/users and workers/employees, as well as public health complying with regulatory requirements of the Factories Ordinance Part II Section 15 (1), Factories (Sanitary Conveniences) Regulations, 1965 and Factories (Washing facilities General) Regulations, 1965, Protection of the Rights of Persons || combined bath and toilet of a building shall be in conformity with the specifications given in the Schedule 7 herein. (3) For non-domestic buildings, sanitary conveniences should be sited, designed and installed as appropriate for each gender and age and for differently abled persons so as to protect and promote personal hygiene of occupants/users and workers/employees, as well as public health complying with regulatory requirements of the Factories Ordinance Part II Section 15 (1), Factories (Sanitary Conveniences) Regulations, 1965 and Factories (Washing facilities General) Regulations, 1965, Protection of the Rights of Persons with Disabilities Act, No. 28 of 1996 and their subsequent amendments and other applicable laws and regulations</x:v>
      </x:c>
      <x:c r="G15" s="11" t="str">
        <x:v>candidate_unreviewed</x:v>
      </x:c>
      <x:c r="H15" s="24" t="b">
        <x:v>0</x:v>
      </x:c>
      <x:c r="I15" s="11" t="str">
        <x:v>Keyword extraction only. Read page image and full context before promoting. English search cannot exclude Sinhala/Tamil or image-only content.</x:v>
      </x:c>
    </x:row>
    <x:row r="16" ht="448" customHeight="1">
      <x:c r="A16" s="8" t="str">
        <x:v>C00015</x:v>
      </x:c>
      <x:c r="B16" s="8" t="str">
        <x:v>SRC_0001</x:v>
      </x:c>
      <x:c r="C16" s="8" t="str">
        <x:v>2235-54_E.pdf</x:v>
      </x:c>
      <x:c r="D16" s="18" t="n">
        <x:v>38</x:v>
      </x:c>
      <x:c r="E16" s="8" t="str">
        <x:v>light and ventilation, staircase</x:v>
      </x:c>
      <x:c r="F16" s="8" t="str">
        <x:v>ment of such roads. (10) No advertisement panel shall obstruct any door, window, emergency door, staircase or any other means of obtaining light and ventilation of a building. (11) No advertisement, hoarding or billboard etc. shall be erected in front of a commercial building or a Public Building, in a manner that would cover more than 25% of the frontage of such building. (12) No advertisement, billboard or hoarding etc. shall be erected or displayed with the support of trees, telephone or electricity posts, rocks, bridges, parapet walls, walls, vehicles or traffic sign board. (13) Every advertisement, billboard or hoarding shall be maintained in a pleasant and protective manner. (14) The display of advertisements or notices || panel shall obstruct any door, window, emergency door, staircase or any other means of obtaining light and ventilation of a building. (11) No advertisement, hoarding or billboard etc. shall be erected in front of a commercial building or a Public Building, in a manner that would cover more than 25% of the frontage of such building. (12) No advertisement, billboard or hoarding etc. shall be erected or displayed with the support of trees, telephone or electricity posts, rocks, bridges, parapet walls, walls, vehicles or traffic sign board. (13) Every advertisement, billboard or hoarding shall be maintained in a pleasant and protective manner. (14) The display of advertisements or notices may be permitted for a limited period of time for specia</x:v>
      </x:c>
      <x:c r="G16" s="8" t="str">
        <x:v>candidate_unreviewed</x:v>
      </x:c>
      <x:c r="H16" s="21" t="b">
        <x:v>0</x:v>
      </x:c>
      <x:c r="I16" s="8" t="str">
        <x:v>Keyword extraction only. Read page image and full context before promoting. English search cannot exclude Sinhala/Tamil or image-only content.</x:v>
      </x:c>
    </x:row>
    <x:row r="17" ht="448" customHeight="1">
      <x:c r="A17" s="11" t="str">
        <x:v>C00016</x:v>
      </x:c>
      <x:c r="B17" s="11" t="str">
        <x:v>SRC_0001</x:v>
      </x:c>
      <x:c r="C17" s="11" t="str">
        <x:v>2235-54_E.pdf</x:v>
      </x:c>
      <x:c r="D17" s="22" t="n">
        <x:v>43</x:v>
      </x:c>
      <x:c r="E17" s="11" t="str">
        <x:v>plot coverage</x:v>
      </x:c>
      <x:c r="F17" s="11" t="str">
        <x:v>nning Committee “means the committee appointed under the provisions of section 8(b) of the Law; “Plot Coverage” means the percentage of total plinth area of a building in relation to the total land area in the plot where building is situated. In the case of buildings or part thereof which include roof projection or balcony exceeding 1.2 m in width, such additional areas shall also be added for the purpose of calculating the plot coverage. “Proposed Road Width” means the future width that an existing road will have once after it is widened as proposed in the gazetted Development Plan “Public Street” means any street over which the public have a right of way and has become vested in any Relevant Institute or Local Authority under any Law or || eding 1.2 m in width, such additional areas shall also be added for the purpose of calculating the plot coverage. “Proposed Road Width” means the future width that an existing road will have once after it is widened as proposed in the gazetted Development Plan “Public Street” means any street over which the public have a right of way and has become vested in any Relevant Institute or Local Authority under any Law or by operation of any Law and includes the drain or footway attached thereto. “Relevant Authority” means the Authority and such Local Authorities that exercise powers so delegated by the UDA under Section 23(5) of the Urban Development Authority Act No. 41 of 1978 as amended). “Relevant Institute” means the government or cor</x:v>
      </x:c>
      <x:c r="G17" s="11" t="str">
        <x:v>candidate_unreviewed</x:v>
      </x:c>
      <x:c r="H17" s="24" t="b">
        <x:v>0</x:v>
      </x:c>
      <x:c r="I17" s="11" t="str">
        <x:v>Keyword extraction only. Read page image and full context before promoting. English search cannot exclude Sinhala/Tamil or image-only content.</x:v>
      </x:c>
    </x:row>
    <x:row r="18" ht="644" customHeight="1">
      <x:c r="A18" s="8" t="str">
        <x:v>C00017</x:v>
      </x:c>
      <x:c r="B18" s="8" t="str">
        <x:v>SRC_0001</x:v>
      </x:c>
      <x:c r="C18" s="8" t="str">
        <x:v>2235-54_E.pdf</x:v>
      </x:c>
      <x:c r="D18" s="18" t="n">
        <x:v>44</x:v>
      </x:c>
      <x:c r="E18" s="8" t="str">
        <x:v>bathroom, bedroom</x:v>
      </x:c>
      <x:c r="F18" s="8" t="str">
        <x:v>sidential building as such. “Residential Unit” means a dwelling unit consisting of a, kitchen, bedroom, bathroom or toilet used or proposed to be used for a single family. “Retaining Wall” means a protective wall constructed to stabilize the slope or prevent deformation of the soil layer in a steep slope. “Room” means a portion of a building enclosed by walls or partitions. “Sewage” means any liquid waste and includes water-borne sludge and trade effluent. “Street Line” means a line or lines defined on one or both sides of any existing street, to show its future width or to show the width of a future street as sanctioned by the Local Authority. “Temporary Building” means a building which is permitted by the Relevant Autho || building as such. “Residential Unit” means a dwelling unit consisting of a, kitchen, bedroom, bathroom or toilet used or proposed to be used for a single family. “Retaining Wall” means a protective wall constructed to stabilize the slope or prevent deformation of the soil layer in a steep slope. “Room” means a portion of a building enclosed by walls or partitions. “Sewage” means any liquid waste and includes water-borne sludge and trade effluent. “Street Line” means a line or lines defined on one or both sides of any existing street, to show its future width or to show the width of a future street as sanctioned by the Local Authority. “Temporary Building” means a building which is permitted by the Relevant Authority to re || l water which comprises or includes water containing waste discharged from a sanitary convenience, bathroom or appliance used for washing receptacles that generate foul waste or water which has been used for food preparation, cooking or washing. It excludes rainwater from roofs collected in gutters and downpipes or surface water runoff. “Zone Factor” is a tool introduced to guide the development to optimize the utility of the developable lands and infrastructure and to regulate the form of the physical environment and distribution of the development density as envisaged in the development plan. Zone Factor is computed as a ratio between the expected total floor space of a zone and its total buildable land area. It is an </x:v>
      </x:c>
      <x:c r="G18" s="8" t="str">
        <x:v>candidate_unreviewed</x:v>
      </x:c>
      <x:c r="H18" s="21" t="b">
        <x:v>0</x:v>
      </x:c>
      <x:c r="I18" s="8" t="str">
        <x:v>Keyword extraction only. Read page image and full context before promoting. English search cannot exclude Sinhala/Tamil or image-only content.</x:v>
      </x:c>
    </x:row>
    <x:row r="19" ht="224" customHeight="1">
      <x:c r="A19" s="11" t="str">
        <x:v>C00018</x:v>
      </x:c>
      <x:c r="B19" s="11" t="str">
        <x:v>SRC_0001</x:v>
      </x:c>
      <x:c r="C19" s="11" t="str">
        <x:v>2235-54_E.pdf</x:v>
      </x:c>
      <x:c r="D19" s="22" t="n">
        <x:v>113</x:v>
      </x:c>
      <x:c r="E19" s="11" t="str">
        <x:v>minimum width</x:v>
      </x:c>
      <x:c r="F19" s="11" t="str">
        <x:v>lombo Municipal Council Area. Schedule 4 Form B Accessibility to Lands for Residential Use Minimum Width of Access Road/ Street (meters) Maximum Length of Access Road/ Street (meters) Maximum Number of Lots Served (Excluding the once those are facing the main road) Maximum Dwelling Units per Lot 3.0 up to 50 m 4 2 At a distance of 100m or less, but both ends connected to public roads where width is 6 m or more 8 2 4.5 up to 100 m 6 2 At a distance of 200 m or less, but both ends connected to public roads where width is 6 m or more 12 2 6.0 - 20 Permissible Floor Area applies 9.0 or more - unlimited Permissible Floor Area applies Note: This subdivision regulation published in City of Colomb</x:v>
      </x:c>
      <x:c r="G19" s="11" t="str">
        <x:v>candidate_unreviewed</x:v>
      </x:c>
      <x:c r="H19" s="24" t="b">
        <x:v>0</x:v>
      </x:c>
      <x:c r="I19" s="11" t="str">
        <x:v>Keyword extraction only. Read page image and full context before promoting. English search cannot exclude Sinhala/Tamil or image-only content.</x:v>
      </x:c>
    </x:row>
    <x:row r="20" ht="224" customHeight="1">
      <x:c r="A20" s="8" t="str">
        <x:v>C00019</x:v>
      </x:c>
      <x:c r="B20" s="8" t="str">
        <x:v>SRC_0001</x:v>
      </x:c>
      <x:c r="C20" s="8" t="str">
        <x:v>2235-54_E.pdf</x:v>
      </x:c>
      <x:c r="D20" s="18" t="n">
        <x:v>120</x:v>
      </x:c>
      <x:c r="E20" s="8" t="str">
        <x:v>plot coverage</x:v>
      </x:c>
      <x:c r="F20" s="8" t="str">
        <x:v>including parking areas Number of units allowed for each road shall not be changed * Where no plot coverage specified under the zoning regulations Form “B Form “C” (Applicable for the declared urban ares except area having zoning factor based Development Plans Form C - Permissible Floor Area Ratio Land extent (Sq.M) Low Density Zone (Controlled Zone) Medium Density Zone (Residential Zone) High Density Zone (Mixed Zone) Minimum Road Width Minimum Road Width Minimum Road Width 6m 9m 12m 15m or above 6m 9m 12m 15m or above 6m 9m 12m 15 m or abo ve 150 less than 250 0.8 0.9 0.9 0.9 1.3 1.3 1.4 1.4 1.6 1.7 1.8 1.9 250 less than 375 0.9 1.0 1.2 1.3 1.3 1.6 1.8 2.0 1.8 2.2 2.4 2.7 375 less tha</x:v>
      </x:c>
      <x:c r="G20" s="8" t="str">
        <x:v>candidate_unreviewed</x:v>
      </x:c>
      <x:c r="H20" s="21" t="b">
        <x:v>0</x:v>
      </x:c>
      <x:c r="I20" s="8" t="str">
        <x:v>Keyword extraction only. Read page image and full context before promoting. English search cannot exclude Sinhala/Tamil or image-only content.</x:v>
      </x:c>
    </x:row>
    <x:row r="21" ht="70" customHeight="1">
      <x:c r="A21" s="11" t="str">
        <x:v>C00020</x:v>
      </x:c>
      <x:c r="B21" s="11" t="str">
        <x:v>SRC_0001</x:v>
      </x:c>
      <x:c r="C21" s="11" t="str">
        <x:v>2235-54_E.pdf</x:v>
      </x:c>
      <x:c r="D21" s="22" t="n">
        <x:v>121</x:v>
      </x:c>
      <x:c r="E21" s="11" t="str">
        <x:v>plot coverage</x:v>
      </x:c>
      <x:c r="F21" s="11" t="str">
        <x:v>ted including parking areas Number of units allowed for each road shall not be changed * Where no plot coverage specified under the zoning regulations Form “D”</x:v>
      </x:c>
      <x:c r="G21" s="11" t="str">
        <x:v>candidate_unreviewed</x:v>
      </x:c>
      <x:c r="H21" s="24" t="b">
        <x:v>0</x:v>
      </x:c>
      <x:c r="I21" s="11" t="str">
        <x:v>Keyword extraction only. Read page image and full context before promoting. English search cannot exclude Sinhala/Tamil or image-only content.</x:v>
      </x:c>
    </x:row>
    <x:row r="22" ht="602" customHeight="1">
      <x:c r="A22" s="8" t="str">
        <x:v>C00021</x:v>
      </x:c>
      <x:c r="B22" s="8" t="str">
        <x:v>SRC_0001</x:v>
      </x:c>
      <x:c r="C22" s="8" t="str">
        <x:v>2235-54_E.pdf</x:v>
      </x:c>
      <x:c r="D22" s="18" t="n">
        <x:v>123</x:v>
      </x:c>
      <x:c r="E22" s="8" t="str">
        <x:v>bathroom, minimum floor area, minimum width, schedule 7, schedule 8, stair case</x:v>
      </x:c>
      <x:c r="F22" s="8" t="str">
        <x:v>I : Sec (I) – GAZETTE EXTRAORDINARY OF THE DEMOCRATIC SOCIALIST REPUBLIC OF SRI LANKA – 08.07.2021 Schedule 7 [Regulation 65,75] Room Minimum Floor Area (m2) Minimum width (m) Where there is only one room in a dwelling unit 11.0 3.0 (b) Where there are more than 1 room in a dwelling unit i. First Room 9.5 2.5 ii. Additional Room 8.5 2.5 (c) Kitchen 5.5 1.8 (d) Bathroom 1.7 1.0 (e) Toilet 1.7 1.0 (f) Combined Bath and Toilet 2.0 1.5 Schedule 8 [Regulation 68] Minimum Requirements for Stair Cases Category Minimum Width of Stairs (mm) Minimum Height Clearance (meters) Maximum Riser (mm) Mini- mum Tread (mm) 1. Internal stairs serving only one upper floor. 750 2.1 175 250 2. Stairs in || THE DEMOCRATIC SOCIALIST REPUBLIC OF SRI LANKA – 08.07.2021 Schedule 7 [Regulation 65,75] Room Minimum Floor Area (m2) Minimum width (m) Where there is only one room in a dwelling unit 11.0 3.0 (b) Where there are more than 1 room in a dwelling unit i. First Room 9.5 2.5 ii. Additional Room 8.5 2.5 (c) Kitchen 5.5 1.8 (d) Bathroom 1.7 1.0 (e) Toilet 1.7 1.0 (f) Combined Bath and Toilet 2.0 1.5 Schedule 8 [Regulation 68] Minimum Requirements for Stair Cases Category Minimum Width of Stairs (mm) Minimum Height Clearance (meters) Maximum Riser (mm) Mini- mum Tread (mm) 1. Internal stairs serving only one upper floor. 750 2.1 175 250 2. Stairs in buildings, used as place of Public Building || REPUBLIC OF SRI LANKA – 08.07.2021 Schedule 7 [Regulation 65,75] Room Minimum Floor Area (m2) Minimum width (m) Where there is only one room in a dwelling unit 11.0 3.0 (b) Where there are more than 1 room in a dwelling unit i. First Room 9.5 2.5 ii. Additional Room 8.5 2.5 (c) Kitchen 5.5 1.8 (d) Bathroom 1.7 1.0 (e) Toilet 1.7 1.0 (f) Combined Bath and Toilet 2.0 1.5 Schedule 8 [Regulation 68] Minimum Requirements for Stair Cases Category Minimum Width of Stairs (mm) Minimum Height Clearance (meters) Maximum Riser (mm) Mini- mum Tread (mm) 1. Internal stairs serving only one upper floor. 750 2.1 175 250 2. Stairs in buildings, used as place of Public Building and Condominium Buil</x:v>
      </x:c>
      <x:c r="G22" s="8" t="str">
        <x:v>candidate_unreviewed</x:v>
      </x:c>
      <x:c r="H22" s="21" t="b">
        <x:v>0</x:v>
      </x:c>
      <x:c r="I22" s="8" t="str">
        <x:v>Keyword extraction only. Read page image and full context before promoting. English search cannot exclude Sinhala/Tamil or image-only content.</x:v>
      </x:c>
    </x:row>
    <x:row r="23" ht="364" customHeight="1">
      <x:c r="A23" s="11" t="str">
        <x:v>C00022</x:v>
      </x:c>
      <x:c r="B23" s="11" t="str">
        <x:v>SRC_0001</x:v>
      </x:c>
      <x:c r="C23" s="11" t="str">
        <x:v>2235-54_E.pdf</x:v>
      </x:c>
      <x:c r="D23" s="22" t="n">
        <x:v>124</x:v>
      </x:c>
      <x:c r="E23" s="11" t="str">
        <x:v>light and ventilation, schedule 9</x:v>
      </x:c>
      <x:c r="F23" s="11" t="str">
        <x:v>: Sec (I) – GAZETTE EXTRAORDINARY OF THE DEMOCRATIC SOCIALIST REPUBLIC OF SRI LANKA – 08.07.2021 Schedule 9 [Regulation 71] Specification of Air Wells for natural light and ventilation Building Height (m) All Rooms Utility Rooms (eg: Toilets, Store Rooms, Gar- age, Washing Areas) Minimum Clear width (meters) Minimum Area of space (square meters) Minimum Clear Width (meters) Minimum Area of Space (square meters) less than 7 2.3 5.0 1.0 1 7 to 15 3.0 9.0 1.0 2.0 15 to 30 4.0 16.0 1.0 2.0 30 to 50 5.0 25.0 1.0 2.25 50 to 75 6.0 36.0 1.5 2.25 75 and above 6.0 * 1.5 2.25 * Minimum area shall be increased by 1 sq.m for every additional 3m height || LIC OF SRI LANKA – 08.07.2021 Schedule 9 [Regulation 71] Specification of Air Wells for natural light and ventilation Building Height (m) All Rooms Utility Rooms (eg: Toilets, Store Rooms, Gar- age, Washing Areas) Minimum Clear width (meters) Minimum Area of space (square meters) Minimum Clear Width (meters) Minimum Area of Space (square meters) less than 7 2.3 5.0 1.0 1 7 to 15 3.0 9.0 1.0 2.0 15 to 30 4.0 16.0 1.0 2.0 30 to 50 5.0 25.0 1.0 2.25 50 to 75 6.0 36.0 1.5 2.25 75 and above 6.0 * 1.5 2.25 * Minimum area shall be increased by 1 sq.m for every additional 3m height</x:v>
      </x:c>
      <x:c r="G23" s="11" t="str">
        <x:v>candidate_unreviewed</x:v>
      </x:c>
      <x:c r="H23" s="24" t="b">
        <x:v>0</x:v>
      </x:c>
      <x:c r="I23" s="11" t="str">
        <x:v>Keyword extraction only. Read page image and full context before promoting. English search cannot exclude Sinhala/Tamil or image-only content.</x:v>
      </x:c>
    </x:row>
    <x:row r="24" ht="350" customHeight="1">
      <x:c r="A24" s="8" t="str">
        <x:v>C00023</x:v>
      </x:c>
      <x:c r="B24" s="8" t="str">
        <x:v>SRC_0001</x:v>
      </x:c>
      <x:c r="C24" s="8" t="str">
        <x:v>2235-54_E.pdf</x:v>
      </x:c>
      <x:c r="D24" s="18" t="n">
        <x:v>148</x:v>
      </x:c>
      <x:c r="E24" s="8" t="str">
        <x:v>minimum width, setbacks</x:v>
      </x:c>
      <x:c r="F24" s="8" t="str">
        <x:v>nd stability report from the Structural Engineer shall be submitted. 5. Accessibility The minimum width of the access Road shall be as approved by the Authority but in no case, shall be less than 3.0m. However, in high terrain area, where no road constructions are permitted due to environmental impact, foot paths less than 3.0m wide may be considered. 6. Stability of the Tower Developer shall submit a report to the Telecommunication Regulatory Commission regarding the structur- al stability of the tower; obtained from a qualified Structural Engineer. Schedule 16 [Regulation 107] Setbacks from Electricity Lines Nominal Voltages Vertical Distance Horizontal Distance Not exceeding 1000 Volts || a qualified Structural Engineer. Schedule 16 [Regulation 107] Setbacks from Electricity Lines Nominal Voltages Vertical Distance Horizontal Distance Not exceeding 1000 Volts 2.40 m 1.50 m Exceeding 1000 Volts but not exceeding 11,000 Volts 2.70 m 1.50 m Exceeding 11,000 Volts but not exceeding 33,000 Volts 3.00 m 2.00 m Exceeding 33,000 Volts but not exceeding 132,000 Volts 4.10 m 4.10 m Exceeding 132,000 Volts but not exceeding 220,000 Volts 5.18 m 5.18 m</x:v>
      </x:c>
      <x:c r="G24" s="8" t="str">
        <x:v>candidate_unreviewed</x:v>
      </x:c>
      <x:c r="H24" s="21" t="b">
        <x:v>0</x:v>
      </x:c>
      <x:c r="I24" s="8" t="str">
        <x:v>Keyword extraction only. Read page image and full context before promoting. English search cannot exclude Sinhala/Tamil or image-only content.</x:v>
      </x:c>
    </x:row>
    <x:row r="25" ht="224" customHeight="1">
      <x:c r="A25" s="11" t="str">
        <x:v>C00024</x:v>
      </x:c>
      <x:c r="B25" s="11" t="str">
        <x:v>SRC_0004</x:v>
      </x:c>
      <x:c r="C25" s="11" t="str">
        <x:v>Badulla Development Plan - English.pdf</x:v>
      </x:c>
      <x:c r="D25" s="22" t="n">
        <x:v>17</x:v>
      </x:c>
      <x:c r="E25" s="11" t="str">
        <x:v>setback</x:v>
      </x:c>
      <x:c r="F25" s="11" t="str">
        <x:v>XV Badulla Development Plan 2021-2030 Table 7.3: E- Setback . . ........................................................................................................................................ 208 7.3.2 Zoning Plan (Density based) . ................................................................................................................. 209 7.4 Common Guidelines for Planning Area . .................................................................................................... 210 Chapter 8 . ......................................................................................................................................................... 213 Zoning Gudelines . ..........</x:v>
      </x:c>
      <x:c r="G25" s="11" t="str">
        <x:v>candidate_unreviewed</x:v>
      </x:c>
      <x:c r="H25" s="24" t="b">
        <x:v>0</x:v>
      </x:c>
      <x:c r="I25" s="11" t="str">
        <x:v>Keyword extraction only. Read page image and full context before promoting. English search cannot exclude Sinhala/Tamil or image-only content.</x:v>
      </x:c>
    </x:row>
    <x:row r="26" ht="112" customHeight="1">
      <x:c r="A26" s="8" t="str">
        <x:v>C00025</x:v>
      </x:c>
      <x:c r="B26" s="8" t="str">
        <x:v>SRC_0004</x:v>
      </x:c>
      <x:c r="C26" s="8" t="str">
        <x:v>Badulla Development Plan - English.pdf</x:v>
      </x:c>
      <x:c r="D26" s="18" t="n">
        <x:v>88</x:v>
      </x:c>
      <x:c r="E26" s="8" t="str">
        <x:v>minimum width</x:v>
      </x:c>
      <x:c r="F26" s="8" t="str">
        <x:v>w land area since the basin terrain of town area. Due to that road developments are not at least minimum width. Most of the residential roads are about 2-3m wide roads. The low land area hasn’t the mobile communication facilities like Dialog and Mobitel as well. The map of low land zones is shown in map no 5.6</x:v>
      </x:c>
      <x:c r="G26" s="8" t="str">
        <x:v>candidate_unreviewed</x:v>
      </x:c>
      <x:c r="H26" s="21" t="b">
        <x:v>0</x:v>
      </x:c>
      <x:c r="I26" s="8" t="str">
        <x:v>Keyword extraction only. Read page image and full context before promoting. English search cannot exclude Sinhala/Tamil or image-only content.</x:v>
      </x:c>
    </x:row>
    <x:row r="27" ht="238" customHeight="1">
      <x:c r="A27" s="11" t="str">
        <x:v>C00026</x:v>
      </x:c>
      <x:c r="B27" s="11" t="str">
        <x:v>SRC_0004</x:v>
      </x:c>
      <x:c r="C27" s="11" t="str">
        <x:v>Badulla Development Plan - English.pdf</x:v>
      </x:c>
      <x:c r="D27" s="22" t="n">
        <x:v>123</x:v>
      </x:c>
      <x:c r="E27" s="11" t="str">
        <x:v>plot coverage</x:v>
      </x:c>
      <x:c r="F27" s="11" t="str">
        <x:v>lopment Plan 2030 to enhance the economic and service facilities in related to health sector. The plot coverage has exceeded to get maximum benefit from health zone lands. 2. Establish the thrift economic activities related to leisure activity promoting places. Daily commuter population of Badulla area includes all the ages and social status. Accordingly, proposed to establish thrift economic centers from Mediriya Road to Hunukotuwa Road, Alikumbura Urban Wetland Park, and Walking Path from Badulupitiya to Mahiyanganaya Road. Under this plan expect to achieve a regional economic development with enhancing the strong business community by utilizing existing development potentials. For that main economic portal has introduced along the Lower Street</x:v>
      </x:c>
      <x:c r="G27" s="11" t="str">
        <x:v>candidate_unreviewed</x:v>
      </x:c>
      <x:c r="H27" s="24" t="b">
        <x:v>0</x:v>
      </x:c>
      <x:c r="I27" s="11" t="str">
        <x:v>Keyword extraction only. Read page image and full context before promoting. English search cannot exclude Sinhala/Tamil or image-only content.</x:v>
      </x:c>
    </x:row>
    <x:row r="28" ht="224" customHeight="1">
      <x:c r="A28" s="8" t="str">
        <x:v>C00027</x:v>
      </x:c>
      <x:c r="B28" s="8" t="str">
        <x:v>SRC_0004</x:v>
      </x:c>
      <x:c r="C28" s="8" t="str">
        <x:v>Badulla Development Plan - English.pdf</x:v>
      </x:c>
      <x:c r="D28" s="18" t="n">
        <x:v>149</x:v>
      </x:c>
      <x:c r="E28" s="8" t="str">
        <x:v>minimum width</x:v>
      </x:c>
      <x:c r="F28" s="8" t="str">
        <x:v>eelers due to the minimal facilities available in the pavements. There is no at least the required minimum width for pedestrian paths. Accordingly, the project proposed to improve and protect the environmental sensitivity of the city and to enhance the pedestrian movement of the city. Further it is proposed to declre one stretch along said roads as service area. Property Description Present Land Ownership UDA Private State √ Free Encumbrances Yes √ No If Yes give details Details of the Ownership Municipal Council, Provincial Road Development Authority, Road Development Authority Survey Plan Detail Survey Plan No. Name of the Surveyor Date Land Extent A - R - P - Project Description Project Period Short term (1&gt; year) √ M</x:v>
      </x:c>
      <x:c r="G28" s="8" t="str">
        <x:v>candidate_unreviewed</x:v>
      </x:c>
      <x:c r="H28" s="21" t="b">
        <x:v>0</x:v>
      </x:c>
      <x:c r="I28" s="8" t="str">
        <x:v>Keyword extraction only. Read page image and full context before promoting. English search cannot exclude Sinhala/Tamil or image-only content.</x:v>
      </x:c>
    </x:row>
    <x:row r="29" ht="182" customHeight="1">
      <x:c r="A29" s="11" t="str">
        <x:v>C00028</x:v>
      </x:c>
      <x:c r="B29" s="11" t="str">
        <x:v>SRC_0004</x:v>
      </x:c>
      <x:c r="C29" s="11" t="str">
        <x:v>Badulla Development Plan - English.pdf</x:v>
      </x:c>
      <x:c r="D29" s="22" t="n">
        <x:v>198</x:v>
      </x:c>
      <x:c r="E29" s="11" t="str">
        <x:v>plot coverage</x:v>
      </x:c>
      <x:c r="F29" s="11" t="str">
        <x:v>cription of the Project This project is proposed to develop as a five story building. 40% of green plot coverage is proposed for this administrative complex development project. The accessibility of this project should not create any vehicular congestion. Infrastructure Availability Water Required Capacity Electricity Required Capacity Available Capacity Available Capacity Solid waste Management system Yes No If No give suitable SWM proposal Zone High Density Mixed zone Zoning compatibility Yes √ No History Present Status (Explain details with measurements)</x:v>
      </x:c>
      <x:c r="G29" s="11" t="str">
        <x:v>candidate_unreviewed</x:v>
      </x:c>
      <x:c r="H29" s="24" t="b">
        <x:v>0</x:v>
      </x:c>
      <x:c r="I29" s="11" t="str">
        <x:v>Keyword extraction only. Read page image and full context before promoting. English search cannot exclude Sinhala/Tamil or image-only content.</x:v>
      </x:c>
    </x:row>
    <x:row r="30" ht="182" customHeight="1">
      <x:c r="A30" s="8" t="str">
        <x:v>C00029</x:v>
      </x:c>
      <x:c r="B30" s="8" t="str">
        <x:v>SRC_0004</x:v>
      </x:c>
      <x:c r="C30" s="8" t="str">
        <x:v>Badulla Development Plan - English.pdf</x:v>
      </x:c>
      <x:c r="D30" s="18" t="n">
        <x:v>220</x:v>
      </x:c>
      <x:c r="E30" s="8" t="str">
        <x:v>plot coverage</x:v>
      </x:c>
      <x:c r="F30" s="8" t="str">
        <x:v>posed to develop as a ten-story building including institutional and commercial uses. 30% of green plot coverage is proposed for this mixed commercial complex development project. The accessibility of this project should not create any vehicular congestion. Accordingly a tunnel is proposed to construct connecting this complex and Senanayaka underground parking space. And also the designs should follow the building line of the Raja Veediya. The vehicular entrance should be kept from the Library Road. Zone High Density Mixed zone Zoning compatibility Yes √ No</x:v>
      </x:c>
      <x:c r="G30" s="8" t="str">
        <x:v>candidate_unreviewed</x:v>
      </x:c>
      <x:c r="H30" s="21" t="b">
        <x:v>0</x:v>
      </x:c>
      <x:c r="I30" s="8" t="str">
        <x:v>Keyword extraction only. Read page image and full context before promoting. English search cannot exclude Sinhala/Tamil or image-only content.</x:v>
      </x:c>
    </x:row>
    <x:row r="31" ht="644" customHeight="1">
      <x:c r="A31" s="11" t="str">
        <x:v>C00030</x:v>
      </x:c>
      <x:c r="B31" s="11" t="str">
        <x:v>SRC_0004</x:v>
      </x:c>
      <x:c r="C31" s="11" t="str">
        <x:v>Badulla Development Plan - English.pdf</x:v>
      </x:c>
      <x:c r="D31" s="22" t="n">
        <x:v>230</x:v>
      </x:c>
      <x:c r="E31" s="11" t="str">
        <x:v>minimum width, plot coverage, setback, setbacks</x:v>
      </x:c>
      <x:c r="F31" s="11" t="str">
        <x:v>210 Badulla Development Plan 2021-2030 Table 7.3 : E- Setback and Open Spaces Form C - Setbacks &amp; Open Spaces Building Height (m) Minimum Site Frontage (m) * Plot Coverage Rear Space (m) Side Space (m) Light Well for NLV Non Residential Residential When no NLV is taking this end When NLV is taking this end When no NLV is taking this end When NLV is taking this end Minimum width Minimum Area (For light well only) less than 7 6 80%** 65% 2.3m 2.3m - 2.3m 2.3m 5 Sq.m 7 less than 15 6 65% 65% 3.0m 3.0m - 3.0m 3.0m 9 Sq.m 15 less than 30 12 65% 65% 4.0m 4.0m 1.0m and 3.0m 4.0m 4.0m 16 Sq.m 30 less than 50 20 65% 65% 4.0m 5.0m 3.0m both side 5.0m 5.0m 25 Sq.m 50 less than 75 30 50%*** 50%*** 5.0m 6. || 210 Badulla Development Plan 2021-2030 Table 7.3 : E- Setback and Open Spaces Form C - Setbacks &amp; Open Spaces Building Height (m) Minimum Site Frontage (m) * Plot Coverage Rear Space (m) Side Space (m) Light Well for NLV Non Residential Residential When no NLV is taking this end When NLV is taking this end When no NLV is taking this end When NLV is taking this end Minimum width Minimum Area (For light well only) less than 7 6 80%** 65% 2.3m 2.3m - 2.3m 2.3m 5 Sq.m 7 less than 15 6 65% 65% 3.0m 3.0m - 3.0m 3.0m 9 Sq.m 15 less than 30 12 65% 65% 4.0m 4.0m 1.0m and 3.0m 4.0m 4.0m 16 Sq.m 30 less than 50 20 65% 65% 4.0m 5.0m 3.0m both side 5.0m 5.0m 25 Sq.m 50 less than 75 30 50%*** 50%*** 5.0m 6.0m 4.0m both side 6.0m 6.0m 36 Sq. || ck and Open Spaces Form C - Setbacks &amp; Open Spaces Building Height (m) Minimum Site Frontage (m) * Plot Coverage Rear Space (m) Side Space (m) Light Well for NLV Non Residential Residential When no NLV is taking this end When NLV is taking this end When no NLV is taking this end When NLV is taking this end Minimum width Minimum Area (For light well only) less than 7 6 80%** 65% 2.3m 2.3m - 2.3m 2.3m 5 Sq.m 7 less than 15 6 65% 65% 3.0m 3.0m - 3.0m 3.0m 9 Sq.m 15 less than 30 12 65% 65% 4.0m 4.0m 1.0m and 3.0m 4.0m 4.0m 16 Sq.m 30 less than 50 20 65% 65% 4.0m 5.0m 3.0m both side 5.0m 5.0m 25 Sq.m 50 less than 75 30 50%*** 50%*** 5.0m 6.0m 4.0m both side 6.0m 6.0m 36 Sq.m 75 and above Above 40m 50%*** 50%*** 5.0m 6.0m 5.0m both side 6.0m 6.0m ***</x:v>
      </x:c>
      <x:c r="G31" s="11" t="str">
        <x:v>candidate_unreviewed</x:v>
      </x:c>
      <x:c r="H31" s="24" t="b">
        <x:v>0</x:v>
      </x:c>
      <x:c r="I31" s="11" t="str">
        <x:v>Keyword extraction only. Read page image and full context before promoting. English search cannot exclude Sinhala/Tamil or image-only content.</x:v>
      </x:c>
    </x:row>
    <x:row r="32" ht="238" customHeight="1">
      <x:c r="A32" s="8" t="str">
        <x:v>C00031</x:v>
      </x:c>
      <x:c r="B32" s="8" t="str">
        <x:v>SRC_0004</x:v>
      </x:c>
      <x:c r="C32" s="8" t="str">
        <x:v>Badulla Development Plan - English.pdf</x:v>
      </x:c>
      <x:c r="D32" s="18" t="n">
        <x:v>236</x:v>
      </x:c>
      <x:c r="E32" s="8" t="str">
        <x:v>plot coverage</x:v>
      </x:c>
      <x:c r="F32" s="8" t="str">
        <x:v>isted in Table 8.2 will determine the minimum land area based on its main use. ii. The permissible plot coverage enforced on the development of paddy lands located outside of the environment Sensitive zone except for the single residential lots shall be 50%. 8.1.1 Permissible uses in Health service zone No Use Minimum plot size (Sqm) 1 Minimum plot size (Sqm) Residential Houses - 2 Hostel - 3 Housing scheme (more than 4 units) 500 4 Health Government Hospital 1000 5 Private Hospital 1000 6 Channeling centers 1000 7 Laboratory - 8 Pharmacy - 9 Medical Centers - 10 Spa - 11 Education Vocational Training Institutes 1000 12 Institute Offices - 13 Banks, Financial institute - Sports/ Recreational spaces Library 15 Physical Fitness Centers - 16 Com</x:v>
      </x:c>
      <x:c r="G32" s="8" t="str">
        <x:v>candidate_unreviewed</x:v>
      </x:c>
      <x:c r="H32" s="21" t="b">
        <x:v>0</x:v>
      </x:c>
      <x:c r="I32" s="8" t="str">
        <x:v>Keyword extraction only. Read page image and full context before promoting. English search cannot exclude Sinhala/Tamil or image-only content.</x:v>
      </x:c>
    </x:row>
    <x:row r="33" ht="238" customHeight="1">
      <x:c r="A33" s="11" t="str">
        <x:v>C00032</x:v>
      </x:c>
      <x:c r="B33" s="11" t="str">
        <x:v>SRC_0004</x:v>
      </x:c>
      <x:c r="C33" s="11" t="str">
        <x:v>Badulla Development Plan - English.pdf</x:v>
      </x:c>
      <x:c r="D33" s="22" t="n">
        <x:v>237</x:v>
      </x:c>
      <x:c r="E33" s="11" t="str">
        <x:v>plot coverage</x:v>
      </x:c>
      <x:c r="F33" s="11" t="str">
        <x:v>st Longitude 81° 3'36.57" to North Latitude 6°59'4.73", East Longitude 81° 3'35.90" C Permissible Plot coverage Residential - 65% Non- Residential - 80% D Minimum Plot Size The minimum land area is 150 square meters and the minimum land area for each use is as per the Table 8.4 E Common Regulations in force within the zone i. The proposed development work as a combination of the approved uses listed in Table 8.4 will determine the minimum land area based on its main use ii. Before undertaking any development work within Muthiyangana Sacred area as defined under the Annexure 01 should be obtained Preliminary Planning Clearance of the Urban Development Authority and shall not be permitted liquor shops, meat and fish selling shops within the sa</x:v>
      </x:c>
      <x:c r="G33" s="11" t="str">
        <x:v>candidate_unreviewed</x:v>
      </x:c>
      <x:c r="H33" s="24" t="b">
        <x:v>0</x:v>
      </x:c>
      <x:c r="I33" s="11" t="str">
        <x:v>Keyword extraction only. Read page image and full context before promoting. English search cannot exclude Sinhala/Tamil or image-only content.</x:v>
      </x:c>
    </x:row>
    <x:row r="34" ht="448" customHeight="1">
      <x:c r="A34" s="8" t="str">
        <x:v>C00033</x:v>
      </x:c>
      <x:c r="B34" s="8" t="str">
        <x:v>SRC_0004</x:v>
      </x:c>
      <x:c r="C34" s="8" t="str">
        <x:v>Badulla Development Plan - English.pdf</x:v>
      </x:c>
      <x:c r="D34" s="18" t="n">
        <x:v>244</x:v>
      </x:c>
      <x:c r="E34" s="8" t="str">
        <x:v>plot coverage</x:v>
      </x:c>
      <x:c r="F34" s="8" t="str">
        <x:v>missible uses and Minimum plot sizes of Environment Sensitive Zone A Zone factor 0 B Permissible plot coverage 30% C Common Regulations in force within the Zone i. The Zone divide into main three parts, as showing in the annexure no 1 • Special Paddy &amp; Low land conservation sub zone • River reservation sub zone • Scrub and forest sub zone ii. No developments shall be permitted within the Special paddy &amp; Low land conservation sub zone iii. Only tourism related development shall be permitted within the Scrub and forest sub zone. Following regulations are related to the tourism related developments within this zone • Minimum Plot Size - 40 perches • Permissible plot coverage- 30% • Maximum height - 7m • Nature of Development - Temporary || the tourism related developments within this zone • Minimum Plot Size - 40 perches • Permissible plot coverage- 30% • Maximum height - 7m • Nature of Development - Temporary and semi- permanent construction of using eco-friendly materials such as tourist attractions, cabana hotels, etc. Without impact to the existing landscape. iv. Only parks, jogging tracks and open vehicle parking areas are permitted within the River reservation sub zone v. The developments specified under section III and IV permitted only when such developments are granted with Preliminary planning clearance by the Urban Development Authority. 8.5.1 Permissible uses and Minimum plot sizes of Environment Sensitive Zone No Use Remarks 1 Open Vehicle parks Only River reserv</x:v>
      </x:c>
      <x:c r="G34" s="8" t="str">
        <x:v>candidate_unreviewed</x:v>
      </x:c>
      <x:c r="H34" s="21" t="b">
        <x:v>0</x:v>
      </x:c>
      <x:c r="I34" s="8" t="str">
        <x:v>Keyword extraction only. Read page image and full context before promoting. English search cannot exclude Sinhala/Tamil or image-only content.</x:v>
      </x:c>
    </x:row>
    <x:row r="35" ht="238" customHeight="1">
      <x:c r="A35" s="11" t="str">
        <x:v>C00034</x:v>
      </x:c>
      <x:c r="B35" s="11" t="str">
        <x:v>SRC_0004</x:v>
      </x:c>
      <x:c r="C35" s="11" t="str">
        <x:v>Badulla Development Plan - English.pdf</x:v>
      </x:c>
      <x:c r="D35" s="22" t="n">
        <x:v>367</x:v>
      </x:c>
      <x:c r="E35" s="11" t="str">
        <x:v>plot coverage</x:v>
      </x:c>
      <x:c r="F35" s="11" t="str">
        <x:v>e appointed by virtue of section 8(b) of act no 4 of 1982 of Urban Development Authority Law; 16. “Plot Coverage” means the percentage of total plinth area of a building in relation to the total land area in the plot where building situated 17. “Preliminary Planning Clearance” means a set of guidelines designed by the Authority to evaluate the criteria complied by the developer in respect of a development activity. 18. “Proposed Road Width “means the width of the future street which may be proposed via Development Plan 19. “Public Building” means a building or part thereof used or constructed or adapted to be used as a school, shop, office, hospital or place of public resort, not being a church, chapel, mosque, temple, or other place where public w</x:v>
      </x:c>
      <x:c r="G35" s="11" t="str">
        <x:v>candidate_unreviewed</x:v>
      </x:c>
      <x:c r="H35" s="24" t="b">
        <x:v>0</x:v>
      </x:c>
      <x:c r="I35" s="11" t="str">
        <x:v>Keyword extraction only. Read page image and full context before promoting. English search cannot exclude Sinhala/Tamil or image-only content.</x:v>
      </x:c>
    </x:row>
    <x:row r="36" ht="448" customHeight="1">
      <x:c r="A36" s="8" t="str">
        <x:v>C00035</x:v>
      </x:c>
      <x:c r="B36" s="8" t="str">
        <x:v>SRC_0004</x:v>
      </x:c>
      <x:c r="C36" s="8" t="str">
        <x:v>Badulla Development Plan - English.pdf</x:v>
      </x:c>
      <x:c r="D36" s="18" t="n">
        <x:v>368</x:v>
      </x:c>
      <x:c r="E36" s="8" t="str">
        <x:v>bathroom, bedroom</x:v>
      </x:c>
      <x:c r="F36" s="8" t="str">
        <x:v>ous ceremony are performed. 24. “Residential Unit” means a dwelling unit consisting of a, kitchen, bedroom, bathroom or toilet used or proposed to be used for a single family. 25. “Street Line” means a line or lines defined on one or both sides of any existing street, to show its future width or to show the width of a future street as sanctioned by the Relevant Authority or Relevant Institution 26. “Temporary Building” means a building which is permitted by the relevant authority to remain for a specified period, at the expiration of which the building shall be demolished. 27. “Warehouse” means large building where raw materials or manufactured goods may be stored prior to their distribution for sale 28. “Zone Factor” is a tool introduced || ony are performed. 24. “Residential Unit” means a dwelling unit consisting of a, kitchen, bedroom, bathroom or toilet used or proposed to be used for a single family. 25. “Street Line” means a line or lines defined on one or both sides of any existing street, to show its future width or to show the width of a future street as sanctioned by the Relevant Authority or Relevant Institution 26. “Temporary Building” means a building which is permitted by the relevant authority to remain for a specified period, at the expiration of which the building shall be demolished. 27. “Warehouse” means large building where raw materials or manufactured goods may be stored prior to their distribution for sale 28. “Zone Factor” is a tool introduced to guide</x:v>
      </x:c>
      <x:c r="G36" s="8" t="str">
        <x:v>candidate_unreviewed</x:v>
      </x:c>
      <x:c r="H36" s="21" t="b">
        <x:v>0</x:v>
      </x:c>
      <x:c r="I36" s="8" t="str">
        <x:v>Keyword extraction only. Read page image and full context before promoting. English search cannot exclude Sinhala/Tamil or image-only content.</x:v>
      </x:c>
    </x:row>
    <x:row r="37" ht="154" customHeight="1">
      <x:c r="A37" s="11" t="str">
        <x:v>C00036</x:v>
      </x:c>
      <x:c r="B37" s="11" t="str">
        <x:v>SRC_0006</x:v>
      </x:c>
      <x:c r="C37" s="11" t="str">
        <x:v>Balangoda.zip::Balangoda/Balangoda Volume II PDF.pdf</x:v>
      </x:c>
      <x:c r="D37" s="22" t="n">
        <x:v>11</x:v>
      </x:c>
      <x:c r="E37" s="11" t="str">
        <x:v>stair case</x:v>
      </x:c>
      <x:c r="F37" s="11" t="str">
        <x:v>Regulations Page No. Specifications to Buildings 76 Stair Case 76 Lighting and Ventilation 77 Mechanical Ventilation and Air Conditioning 79 Foundations 80 Lifts 81 Drinking Water Supply 81 Sewerage System and Sanitation 82 Rain Water Harvesting and Drainage 82 Solid Waste Disposal 86 Electrical and Plumbing Work 86 Fire Safety 87 Certificate of Conformity 87 Unsafe Buildings 89 Mining Industry 89 Facilities for Disabled Persons 90 Part IV Definitions</x:v>
      </x:c>
      <x:c r="G37" s="11" t="str">
        <x:v>candidate_unreviewed</x:v>
      </x:c>
      <x:c r="H37" s="24" t="b">
        <x:v>0</x:v>
      </x:c>
      <x:c r="I37" s="11" t="str">
        <x:v>Keyword extraction only. Read page image and full context before promoting. English search cannot exclude Sinhala/Tamil or image-only content.</x:v>
      </x:c>
    </x:row>
    <x:row r="38" ht="182" customHeight="1">
      <x:c r="A38" s="8" t="str">
        <x:v>C00037</x:v>
      </x:c>
      <x:c r="B38" s="8" t="str">
        <x:v>SRC_0006</x:v>
      </x:c>
      <x:c r="C38" s="8" t="str">
        <x:v>Balangoda.zip::Balangoda/Balangoda Volume II PDF.pdf</x:v>
      </x:c>
      <x:c r="D38" s="18" t="n">
        <x:v>12</x:v>
      </x:c>
      <x:c r="E38" s="8" t="str">
        <x:v>plot coverage</x:v>
      </x:c>
      <x:c r="F38" s="8" t="str">
        <x:v>ommon Open Recreational Plan 12 Map No. 3 - Action Projects 23 Map No. 4 - Plot Coverage 29 List of Annexure Annexure No. 1 - Road Network of Balangoda 35 Annexure No. 2 - Specifications for Gradients of Lands in Residential Zones 43 Annexure No. 3 - Building Limits 44 Annexure No. 4 - Reservations for Rivers and Canals 49 Annexure No. 5 - Dangerous and Unsafe Trade Activities 49 Annexure No. 6 - Floor Area Ratio 50 Annexure No. 7 - Reservations for Mining Activities 51 Annexure No. 8 - Preserved Buildings 51 Annexure No. 9 - Zoning Boundaries 130 xii</x:v>
      </x:c>
      <x:c r="G38" s="8" t="str">
        <x:v>candidate_unreviewed</x:v>
      </x:c>
      <x:c r="H38" s="21" t="b">
        <x:v>0</x:v>
      </x:c>
      <x:c r="I38" s="8" t="str">
        <x:v>Keyword extraction only. Read page image and full context before promoting. English search cannot exclude Sinhala/Tamil or image-only content.</x:v>
      </x:c>
    </x:row>
    <x:row r="39" ht="196" customHeight="1">
      <x:c r="A39" s="11" t="str">
        <x:v>C00038</x:v>
      </x:c>
      <x:c r="B39" s="11" t="str">
        <x:v>SRC_0006</x:v>
      </x:c>
      <x:c r="C39" s="11" t="str">
        <x:v>Balangoda.zip::Balangoda/Balangoda Volume II PDF.pdf</x:v>
      </x:c>
      <x:c r="D39" s="22" t="n">
        <x:v>29</x:v>
      </x:c>
      <x:c r="E39" s="11" t="str">
        <x:v>plot coverage</x:v>
      </x:c>
      <x:c r="F39" s="11" t="str">
        <x:v>ed Uses Other Requirements Less Danger Zone  Residential (less plot coverage)  Industries.  High rise buildings.  Public meeting places.  Government and institutional buildings.  Administrative complexes, education and training institutes, cultural centres, religious places, community halls, museums, car parking complexes.  Parking areas.  Agricultural activities, Plantation industries.  Power generation stations  Introduction of sewerage systems.  Recommendations should be obtained from the local authority and National Building Research Organisation.  Adequate parking should be provided. 17</x:v>
      </x:c>
      <x:c r="G39" s="11" t="str">
        <x:v>candidate_unreviewed</x:v>
      </x:c>
      <x:c r="H39" s="24" t="b">
        <x:v>0</x:v>
      </x:c>
      <x:c r="I39" s="11" t="str">
        <x:v>Keyword extraction only. Read page image and full context before promoting. English search cannot exclude Sinhala/Tamil or image-only content.</x:v>
      </x:c>
    </x:row>
    <x:row r="40" ht="196" customHeight="1">
      <x:c r="A40" s="8" t="str">
        <x:v>C00039</x:v>
      </x:c>
      <x:c r="B40" s="8" t="str">
        <x:v>SRC_0006</x:v>
      </x:c>
      <x:c r="C40" s="8" t="str">
        <x:v>Balangoda.zip::Balangoda/Balangoda Volume II PDF.pdf</x:v>
      </x:c>
      <x:c r="D40" s="18" t="n">
        <x:v>43</x:v>
      </x:c>
      <x:c r="E40" s="8" t="str">
        <x:v>plot coverage</x:v>
      </x:c>
      <x:c r="F40" s="8" t="str">
        <x:v>ll construction of commercial building within this zone) - Land extent should be 45 perches - Plot coverage 66% - Maximum Floor Area Ratio 2.5 Note: Approval only granted tourism related activities within this zone vii. Food court not less than 100 sq.m. viii. Government and Private Office Building not less than 100 sq.m. ix. Social and Cultural Centres x. Parks and Play Grounds xi. Indoor Stadium and Recreational Activity Centre xii. Cottage industries by electric power using not more than 5 H.P, employing not more than 10 workers, and occupying a gross floor area not exceeding 50 sq.m. 31</x:v>
      </x:c>
      <x:c r="G40" s="8" t="str">
        <x:v>candidate_unreviewed</x:v>
      </x:c>
      <x:c r="H40" s="21" t="b">
        <x:v>0</x:v>
      </x:c>
      <x:c r="I40" s="8" t="str">
        <x:v>Keyword extraction only. Read page image and full context before promoting. English search cannot exclude Sinhala/Tamil or image-only content.</x:v>
      </x:c>
    </x:row>
    <x:row r="41" ht="224" customHeight="1">
      <x:c r="A41" s="11" t="str">
        <x:v>C00040</x:v>
      </x:c>
      <x:c r="B41" s="11" t="str">
        <x:v>SRC_0006</x:v>
      </x:c>
      <x:c r="C41" s="11" t="str">
        <x:v>Balangoda.zip::Balangoda/Balangoda Volume II PDF.pdf</x:v>
      </x:c>
      <x:c r="D41" s="22" t="n">
        <x:v>44</x:v>
      </x:c>
      <x:c r="E41" s="11" t="str">
        <x:v>minimum width</x:v>
      </x:c>
      <x:c r="F41" s="11" t="str">
        <x:v>xiv. If a plot of land facing the “A” grade road, shall have a minimum extent of 6 perches and a minimum width of the frontage 6 m (20 ft) for any development, with vehicle parking facility within the site, and adhere to Annexure 2 and Annexure 6 indicated in Volume II for approval. 4.3.2 Mixed Residential Zone Following uses will be permitted within the Mixed Residential Zone. i. All the above uses mentioned in Residential Zone will be granted for this zone. ii. Small scale industries (Land extent should exceed more than 300 sq.m. and should be in conformity with requirements of the Central Environmental Authority with regard to the maximum noise levels permissible in the Mixed Development Zone. iii. Whole sale trade activity</x:v>
      </x:c>
      <x:c r="G41" s="11" t="str">
        <x:v>candidate_unreviewed</x:v>
      </x:c>
      <x:c r="H41" s="24" t="b">
        <x:v>0</x:v>
      </x:c>
      <x:c r="I41" s="11" t="str">
        <x:v>Keyword extraction only. Read page image and full context before promoting. English search cannot exclude Sinhala/Tamil or image-only content.</x:v>
      </x:c>
    </x:row>
    <x:row r="42" ht="644" customHeight="1">
      <x:c r="A42" s="8" t="str">
        <x:v>C00041</x:v>
      </x:c>
      <x:c r="B42" s="8" t="str">
        <x:v>SRC_0006</x:v>
      </x:c>
      <x:c r="C42" s="8" t="str">
        <x:v>Balangoda.zip::Balangoda/Balangoda Volume II PDF.pdf</x:v>
      </x:c>
      <x:c r="D42" s="18" t="n">
        <x:v>72</x:v>
      </x:c>
      <x:c r="E42" s="8" t="str">
        <x:v>minimum width</x:v>
      </x:c>
      <x:c r="F42" s="8" t="str">
        <x:v>ovide access more than 20 units in low density Residential Zone in the Balangoda Development Plan, minimum width of access shall be 6 m. (b) Any street that provides access to one or more lots used for constructing non residential housing units may be permitted with access less than 9 meters in width and such street shall be in conformity with specifications set out in “Form B” of Schedule IV. However, if the Chairman is of the opinion that an undue hardship will be caused to a person in the case of residential use of a lot if the minimum access requirements for dwelling house as stipulated in Schedule IV are to be complied with the minimum width or access may be reduced by not more than 2 metres on the recommendations of the Head of t || m access requirements for dwelling house as stipulated in Schedule IV are to be complied with the minimum width or access may be reduced by not more than 2 metres on the recommendations of the Head of the Local Authority and in consultation with the Planning Committee subject to the following:- (i) A minimum width of 3 metres is available for access. (ii) This reduction will not apply in case of a new sub-division. (iii) The area has a semi urban character. 3. All the access road mentioned “B” in the above should be connected to a public road which is not less than 9.0 m in width or a private street of which the land owner has the ownership of such private street or has a right of way which connects on to a public street which is not || al Authority and in consultation with the Planning Committee subject to the following:- (i) A minimum width of 3 metres is available for access. (ii) This reduction will not apply in case of a new sub-division. (iii) The area has a semi urban character. 3. All the access road mentioned “B” in the above should be connected to a public road which is not less than 9.0 m in width or a private street of which the land owner has the ownership of such private street or has a right of way which connects on to a public street which is not less than 9.0 m in width. 4. Every street which is less than nine (9.0) metres in width and exceeds thirty (30) meters in length, shall be provided with a turning circl</x:v>
      </x:c>
      <x:c r="G42" s="8" t="str">
        <x:v>candidate_unreviewed</x:v>
      </x:c>
      <x:c r="H42" s="21" t="b">
        <x:v>0</x:v>
      </x:c>
      <x:c r="I42" s="8" t="str">
        <x:v>Keyword extraction only. Read page image and full context before promoting. English search cannot exclude Sinhala/Tamil or image-only content.</x:v>
      </x:c>
    </x:row>
    <x:row r="43" ht="406" customHeight="1">
      <x:c r="A43" s="11" t="str">
        <x:v>C00042</x:v>
      </x:c>
      <x:c r="B43" s="11" t="str">
        <x:v>SRC_0006</x:v>
      </x:c>
      <x:c r="C43" s="11" t="str">
        <x:v>Balangoda.zip::Balangoda/Balangoda Volume II PDF.pdf</x:v>
      </x:c>
      <x:c r="D43" s="22" t="n">
        <x:v>73</x:v>
      </x:c>
      <x:c r="E43" s="11" t="str">
        <x:v>minimum width, staircase</x:v>
      </x:c>
      <x:c r="F43" s="11" t="str">
        <x:v>15. Specifications as to Lots i. The minimum extent and the minimum width of lots of buildings which are not high-rising buildings in non residential zone should accordance with specification given in Annexure 02 of Balangoda Urban Development Plan. The minimum extent and width of lot should be 150 sq.m. and 6 m. respectively in the other zones. ii. Every lot or site which abuts on to the end of a dead end street may have a frontage not less that the width specified under 15(1) shall be not less than 3.0 metres wide. iii. The Authority may relax the requirement of the specified site extent and width in the case of a construction of a building on a site which is not adjoining a Grade “A” or Grade || gulation lifts or motor rooms not exceeding a height of six (6) metres and extent of 55 sq.m. or a staircase room not exceeding a height of 5 metres and extent 25 sq.m. or a water tank not exceeding a height of one and half meters (1.5 metres) shall be ignored. iv. If any land abuts to Wee Ganga or Water Course, the height of building to be constructed in such land should be in accordance with zoning regulation of Balangoda Development Plan. 17. Street Lines and Building Lines i. Where a street line has been determined by any Regulation, the street line of such street or such road shall be in accordance with such Act or such Regulations. 61</x:v>
      </x:c>
      <x:c r="G43" s="11" t="str">
        <x:v>candidate_unreviewed</x:v>
      </x:c>
      <x:c r="H43" s="24" t="b">
        <x:v>0</x:v>
      </x:c>
      <x:c r="I43" s="11" t="str">
        <x:v>Keyword extraction only. Read page image and full context before promoting. English search cannot exclude Sinhala/Tamil or image-only content.</x:v>
      </x:c>
    </x:row>
    <x:row r="44" ht="210" customHeight="1">
      <x:c r="A44" s="8" t="str">
        <x:v>C00043</x:v>
      </x:c>
      <x:c r="B44" s="8" t="str">
        <x:v>SRC_0006</x:v>
      </x:c>
      <x:c r="C44" s="8" t="str">
        <x:v>Balangoda.zip::Balangoda/Balangoda Volume II PDF.pdf</x:v>
      </x:c>
      <x:c r="D44" s="18" t="n">
        <x:v>75</x:v>
      </x:c>
      <x:c r="E44" s="8" t="str">
        <x:v>minimum width</x:v>
      </x:c>
      <x:c r="F44" s="8" t="str">
        <x:v>ii. The minimum width of a carriage way for a street shall be as approved by the Authority, but shall not be less than 3 meters for streets up to 9 meters in width and 5 meters for streets wider than 9 meters. 20. i. Where the parcel of land or site to be sub-divided exceeds 01 hectare an area of not less than 10 percent of land or site excluding streets shall be reserved for community recreation and open space uses in appropriate locations except in the following instances: (a) In commercial and industrial land sub divisions, if the minimum and parcel of the sub division is not less than 2,024 sq.m. (80 perches) and all the road widths are n</x:v>
      </x:c>
      <x:c r="G44" s="8" t="str">
        <x:v>candidate_unreviewed</x:v>
      </x:c>
      <x:c r="H44" s="21" t="b">
        <x:v>0</x:v>
      </x:c>
      <x:c r="I44" s="8" t="str">
        <x:v>Keyword extraction only. Read page image and full context before promoting. English search cannot exclude Sinhala/Tamil or image-only content.</x:v>
      </x:c>
    </x:row>
    <x:row r="45" ht="224" customHeight="1">
      <x:c r="A45" s="11" t="str">
        <x:v>C00044</x:v>
      </x:c>
      <x:c r="B45" s="11" t="str">
        <x:v>SRC_0006</x:v>
      </x:c>
      <x:c r="C45" s="11" t="str">
        <x:v>Balangoda.zip::Balangoda/Balangoda Volume II PDF.pdf</x:v>
      </x:c>
      <x:c r="D45" s="22" t="n">
        <x:v>76</x:v>
      </x:c>
      <x:c r="E45" s="11" t="str">
        <x:v>plot coverage</x:v>
      </x:c>
      <x:c r="F45" s="11" t="str">
        <x:v>ity with this development plan. 23. Open Spaces around Building In any lot of land maximum plot coverage for residential activities should accordance with Annexure 2. Unless otherwise provided in some other place the maximum of coverage permissible on any site is 66 2/3% in case for residential use and 80% for commercial use. 24. i. There shall be in the rear of every building and belonging exclusively to it an open space not less than three (3) metres extending along the entire width of the building unless the rear of the building abuts on to a public street not less than six (6) metres in width; Provided, that where the building consists of a ground floor and the first floor only and no furthest storeys are proposed to be adde</x:v>
      </x:c>
      <x:c r="G45" s="11" t="str">
        <x:v>candidate_unreviewed</x:v>
      </x:c>
      <x:c r="H45" s="24" t="b">
        <x:v>0</x:v>
      </x:c>
      <x:c r="I45" s="11" t="str">
        <x:v>Keyword extraction only. Read page image and full context before promoting. English search cannot exclude Sinhala/Tamil or image-only content.</x:v>
      </x:c>
    </x:row>
    <x:row r="46" ht="210" customHeight="1">
      <x:c r="A46" s="8" t="str">
        <x:v>C00045</x:v>
      </x:c>
      <x:c r="B46" s="8" t="str">
        <x:v>SRC_0006</x:v>
      </x:c>
      <x:c r="C46" s="8" t="str">
        <x:v>Balangoda.zip::Balangoda/Balangoda Volume II PDF.pdf</x:v>
      </x:c>
      <x:c r="D46" s="18" t="n">
        <x:v>79</x:v>
      </x:c>
      <x:c r="E46" s="8" t="str">
        <x:v>minimum width</x:v>
      </x:c>
      <x:c r="F46" s="8" t="str">
        <x:v>(iii) The minimum width of aisles shall confirm to the requirements specified in Form “B” of schedule (V). (iv) The width of access to car parking area shall not be less than 3 metres clear of foot ways and other obstructions if entry and exist are separately provided and 5.5 metres if entry and exist provided are together. (v) The maximum gradient of ramp shall not be steeper than 1:8. (vi) Every such ramp shall start only beyond a distance of 6.0 metres from the street edge. (vii) In issuing development permits, either the physical width of the road, or the proposed street line which ever the lower measurement shall be taken as the width of</x:v>
      </x:c>
      <x:c r="G46" s="8" t="str">
        <x:v>candidate_unreviewed</x:v>
      </x:c>
      <x:c r="H46" s="21" t="b">
        <x:v>0</x:v>
      </x:c>
      <x:c r="I46" s="8" t="str">
        <x:v>Keyword extraction only. Read page image and full context before promoting. English search cannot exclude Sinhala/Tamil or image-only content.</x:v>
      </x:c>
    </x:row>
    <x:row r="47" ht="294" customHeight="1">
      <x:c r="A47" s="11" t="str">
        <x:v>C00046</x:v>
      </x:c>
      <x:c r="B47" s="11" t="str">
        <x:v>SRC_0006</x:v>
      </x:c>
      <x:c r="C47" s="11" t="str">
        <x:v>Balangoda.zip::Balangoda/Balangoda Volume II PDF.pdf</x:v>
      </x:c>
      <x:c r="D47" s="22" t="n">
        <x:v>88</x:v>
      </x:c>
      <x:c r="E47" s="11" t="str">
        <x:v>minimum width, stair case</x:v>
      </x:c>
      <x:c r="F47" s="11" t="str">
        <x:v>mid point of the roof and in no part of the room shall the height be less than 2.1 metres. 42. Stair Case (i) The minimum width of stairs and the minimum dimensions of treads and risers shall be as specified in Form "C" of Schedule (VI). In the case of circular or geometric stairs the widths of the treads measuring at the middle shall not be less than the widths specified in above Schedule. Riser height and tread width shall be constant in any flight of stairs from storey to storey. 76 || nd in no part of the room shall the height be less than 2.1 metres. 42. Stair Case (i) The minimum width of stairs and the minimum dimensions of treads and risers shall be as specified in Form "C" of Schedule (VI). In the case of circular or geometric stairs the widths of the treads measuring at the middle shall not be less than the widths specified in above Schedule. Riser height and tread width shall be constant in any flight of stairs from storey to storey. 76</x:v>
      </x:c>
      <x:c r="G47" s="11" t="str">
        <x:v>candidate_unreviewed</x:v>
      </x:c>
      <x:c r="H47" s="24" t="b">
        <x:v>0</x:v>
      </x:c>
      <x:c r="I47" s="11" t="str">
        <x:v>Keyword extraction only. Read page image and full context before promoting. English search cannot exclude Sinhala/Tamil or image-only content.</x:v>
      </x:c>
    </x:row>
    <x:row r="48" ht="630" customHeight="1">
      <x:c r="A48" s="8" t="str">
        <x:v>C00047</x:v>
      </x:c>
      <x:c r="B48" s="8" t="str">
        <x:v>SRC_0006</x:v>
      </x:c>
      <x:c r="C48" s="8" t="str">
        <x:v>Balangoda.zip::Balangoda/Balangoda Volume II PDF.pdf</x:v>
      </x:c>
      <x:c r="D48" s="18" t="n">
        <x:v>89</x:v>
      </x:c>
      <x:c r="E48" s="8" t="str">
        <x:v>light and ventilation, staircase</x:v>
      </x:c>
      <x:c r="F48" s="8" t="str">
        <x:v>(ii) a. There shall be no obstruction in any staircase between the top most landing and the exist door on the ground floor. b. Every staircase, staircase landing, balcony or verandah shall be protected on any side overlooking a courtyard, void or external air space, by either a hand-rail balustrade or parapet which shall have a height of not less than 1.0 metres and shall be of a suitable design and type of construction to prevent any person from falling over the side of such staircase, staircase landing, balcony or verandah. 43. Lighting and Ventilation (i) Every room in a building shall be provided with natural light and ventilation by means of windows, doors or any ot || y staircase between the top most landing and the exist door on the ground floor. b. Every staircase, staircase landing, balcony or verandah shall be protected on any side overlooking a courtyard, void or external air space, by either a hand-rail balustrade or parapet which shall have a height of not less than 1.0 metres and shall be of a suitable design and type of construction to prevent any person from falling over the side of such staircase, staircase landing, balcony or verandah. 43. Lighting and Ventilation (i) Every room in a building shall be provided with natural light and ventilation by means of windows, doors or any other approved openings. (ii) Every such room of a building to be lighted and ventilated shall h || between the top most landing and the exist door on the ground floor. b. Every staircase, staircase landing, balcony or verandah shall be protected on any side overlooking a courtyard, void or external air space, by either a hand-rail balustrade or parapet which shall have a height of not less than 1.0 metres and shall be of a suitable design and type of construction to prevent any person from falling over the side of such staircase, staircase landing, balcony or verandah. 43. Lighting and Ventilation (i) Every room in a building shall be provided with natural light and ventilation by means of windows, doors or any other approved openings. (ii) Every such room of a building to be lighted and ventilated shall have windows</x:v>
      </x:c>
      <x:c r="G48" s="8" t="str">
        <x:v>candidate_unreviewed</x:v>
      </x:c>
      <x:c r="H48" s="21" t="b">
        <x:v>0</x:v>
      </x:c>
      <x:c r="I48" s="8" t="str">
        <x:v>Keyword extraction only. Read page image and full context before promoting. English search cannot exclude Sinhala/Tamil or image-only content.</x:v>
      </x:c>
    </x:row>
    <x:row r="49" ht="644" customHeight="1">
      <x:c r="A49" s="11" t="str">
        <x:v>C00048</x:v>
      </x:c>
      <x:c r="B49" s="11" t="str">
        <x:v>SRC_0006</x:v>
      </x:c>
      <x:c r="C49" s="11" t="str">
        <x:v>Balangoda.zip::Balangoda/Balangoda Volume II PDF.pdf</x:v>
      </x:c>
      <x:c r="D49" s="22" t="n">
        <x:v>90</x:v>
      </x:c>
      <x:c r="E49" s="11" t="str">
        <x:v>bathroom, light and ventilation</x:v>
      </x:c>
      <x:c r="F49" s="11" t="str">
        <x:v>s short of the specification contain in Form "D" of Schedule (VI) shall be provided with natural light and ventilation by means of one or more sources. (ii) Corridors and passages may be lighted and ventilated by providing opening in the interior walls of the rooms abutting the corridor or passage provided that the area of the openings conform to the specification set out in the Form “D” of Schedule (VI). (iii) Any room used as a parking garage for more than five motor vehicles shall have at least 50 percent of the area of two or more sides of the room as opening to allow for cross ventilation. 47. For the purpose of determining light and ventilation requirements, any room may be considered as a portion of an adjoining room when one || ides of the room as opening to allow for cross ventilation. 47. For the purpose of determining light and ventilation requirements, any room may be considered as a portion of an adjoining room when one half of the area of the common wall is open and unobstructed. 48. There shall also be provided in the case of building without opening on the sides of a depth greater than 12 metres, permanent ventilation from front to rear by suitable vents in all front, that and cross wall at each floor. (The maximum length should be 24 m) 49. (i) Every window or other opening except for toilets and bathrooms must open to a standard light plane and the whole space above such plane must be open to the sky and free from any obstruction other than eaves or su || he maximum length should be 24 m) 49. (i) Every window or other opening except for toilets and bathrooms must open to a standard light plane and the whole space above such plane must be open to the sky and free from any obstruction other than eaves or sun shade projecting to and extend not more than 1.0 metre. For the purpose of this Regulation “standard light plane” means a plane drawn up wards and outwards from the exterior face of the building at the lowest floor level of the room and not being a basement floor car parking or for a air conditioning plant or other service machinery only at an angle of 63 ½ degrees to the horizontal and not impinging on any building wall or other obstruction.</x:v>
      </x:c>
      <x:c r="G49" s="11" t="str">
        <x:v>candidate_unreviewed</x:v>
      </x:c>
      <x:c r="H49" s="24" t="b">
        <x:v>0</x:v>
      </x:c>
      <x:c r="I49" s="11" t="str">
        <x:v>Keyword extraction only. Read page image and full context before promoting. English search cannot exclude Sinhala/Tamil or image-only content.</x:v>
      </x:c>
    </x:row>
    <x:row r="50" ht="336" customHeight="1">
      <x:c r="A50" s="8" t="str">
        <x:v>C00049</x:v>
      </x:c>
      <x:c r="B50" s="8" t="str">
        <x:v>SRC_0006</x:v>
      </x:c>
      <x:c r="C50" s="8" t="str">
        <x:v>Balangoda.zip::Balangoda/Balangoda Volume II PDF.pdf</x:v>
      </x:c>
      <x:c r="D50" s="18" t="n">
        <x:v>91</x:v>
      </x:c>
      <x:c r="E50" s="8" t="str">
        <x:v>light and ventilation</x:v>
      </x:c>
      <x:c r="F50" s="8" t="str">
        <x:v>ts external wall above the outside ground level and shall have all its required sources of natural light and ventilation above the outside ground level. 51. The provisions of Regulation 43 in (i) sub paragraph shall not apply to a room as a photographic dark room or cold storage room where by the nature of the use of the room it cannot have direct openings to external light and air, so long as it shall be artificially lighted and mechanically ventilated to the satisfaction of the Authority. 52. Mechanical Ventilation and Air Conditioning (i) Where the Authority, taking into account the type and size of the building, is of the view that a central air conditioning plant is necessary for the building, the provisions of these Regulations relating || oning plant is necessary for the building, the provisions of these Regulations relating to natural light and ventilation and the height of rooms may be so modified in accordance with the prevailing circumstances so that the ventilation and lighting system will be designed and maintained according to the conditions laid down by it while granting the 79</x:v>
      </x:c>
      <x:c r="G50" s="8" t="str">
        <x:v>candidate_unreviewed</x:v>
      </x:c>
      <x:c r="H50" s="21" t="b">
        <x:v>0</x:v>
      </x:c>
      <x:c r="I50" s="8" t="str">
        <x:v>Keyword extraction only. Read page image and full context before promoting. English search cannot exclude Sinhala/Tamil or image-only content.</x:v>
      </x:c>
    </x:row>
    <x:row r="51" ht="224" customHeight="1">
      <x:c r="A51" s="11" t="str">
        <x:v>C00050</x:v>
      </x:c>
      <x:c r="B51" s="11" t="str">
        <x:v>SRC_0006</x:v>
      </x:c>
      <x:c r="C51" s="11" t="str">
        <x:v>Balangoda.zip::Balangoda/Balangoda Volume II PDF.pdf</x:v>
      </x:c>
      <x:c r="D51" s="22" t="n">
        <x:v>92</x:v>
      </x:c>
      <x:c r="E51" s="11" t="str">
        <x:v>bathroom</x:v>
      </x:c>
      <x:c r="F51" s="11" t="str">
        <x:v>on of the public electric supply; and (ii) Where windows or other openings or water closets and bathrooms cannot open out on to an exterior or interior open space of the required width they may open out on to a ventilation shaft the size of which shall in the case of buildings upto a height of 15 metres be not less than 1 square metre with the minimum dimension of any side being 1 metre and in the case of buildings exceeding 15 metres in height not less than 3 square metres with the minimum dimensions of any side being not less than 1.5 metres. Provided that, in the case of buildings of more than two storeys the water closets and baths shall be mechanically ventilated with exhaust fans of appropriate capacities places both in the win</x:v>
      </x:c>
      <x:c r="G51" s="11" t="str">
        <x:v>candidate_unreviewed</x:v>
      </x:c>
      <x:c r="H51" s="24" t="b">
        <x:v>0</x:v>
      </x:c>
      <x:c r="I51" s="11" t="str">
        <x:v>Keyword extraction only. Read page image and full context before promoting. English search cannot exclude Sinhala/Tamil or image-only content.</x:v>
      </x:c>
    </x:row>
    <x:row r="52" ht="224" customHeight="1">
      <x:c r="A52" s="8" t="str">
        <x:v>C00051</x:v>
      </x:c>
      <x:c r="B52" s="8" t="str">
        <x:v>SRC_0006</x:v>
      </x:c>
      <x:c r="C52" s="8" t="str">
        <x:v>Balangoda.zip::Balangoda/Balangoda Volume II PDF.pdf</x:v>
      </x:c>
      <x:c r="D52" s="18" t="n">
        <x:v>103</x:v>
      </x:c>
      <x:c r="E52" s="8" t="str">
        <x:v>staircase</x:v>
      </x:c>
      <x:c r="F52" s="8" t="str">
        <x:v>motor room not exceeding 56 sq.m. in extent or motor room not exceeding 3.0 meters in height or a staircase room not exceeding a height of 3.0 m and not exceeding 25 sq.m. in extent or a water tank not exceeding a height of 1.5 m. "building residential" means a building exclusively consisting of one or more dwelling units; "building line" means the line upto which a building will be permitted to extent; "building works" includes erection or re-erection of a building or making additions or alterations to an existing building. "chairman" means the Chairman of the Authority; "dwelling house" or "dwelling unit" means a building or part of a building consisting of a room or group of rooms forming a self cantained living unit wit</x:v>
      </x:c>
      <x:c r="G52" s="8" t="str">
        <x:v>candidate_unreviewed</x:v>
      </x:c>
      <x:c r="H52" s="21" t="b">
        <x:v>0</x:v>
      </x:c>
      <x:c r="I52" s="8" t="str">
        <x:v>Keyword extraction only. Read page image and full context before promoting. English search cannot exclude Sinhala/Tamil or image-only content.</x:v>
      </x:c>
    </x:row>
    <x:row r="53" ht="210" customHeight="1">
      <x:c r="A53" s="11" t="str">
        <x:v>C00052</x:v>
      </x:c>
      <x:c r="B53" s="11" t="str">
        <x:v>SRC_0006</x:v>
      </x:c>
      <x:c r="C53" s="11" t="str">
        <x:v>Balangoda.zip::Balangoda/Balangoda Volume II PDF.pdf</x:v>
      </x:c>
      <x:c r="D53" s="22" t="n">
        <x:v>120</x:v>
      </x:c>
      <x:c r="E53" s="11" t="str">
        <x:v>plot coverage</x:v>
      </x:c>
      <x:c r="F53" s="11" t="str">
        <x:v>Floor Area Ration = Gross Floor Area of All Buildings (F.A.R.) Site Area Plot Coverage = Floor Area at ground level x 100 Site area (d) Basement (i) Extent:……………………………………... (ii) Ground Coverage:…………………………. (e) Details of Floor Space (Square Metres): Residential:……………………………………….. Retail Commerce:………………………………… Wholesale Commerce:……………………………. Office:…………………………………………….. Restaurant:………………………………………... Factory or Workshop:…………………………….. Warehouse:……………………………………….. Others (specify):…………………………………... Total:……………………………………………… (f) Parking spaces provided: Cars:……………………………………………… Others (Specify):…………………………………. 7. Details of site sub-division Square Metre</x:v>
      </x:c>
      <x:c r="G53" s="11" t="str">
        <x:v>candidate_unreviewed</x:v>
      </x:c>
      <x:c r="H53" s="24" t="b">
        <x:v>0</x:v>
      </x:c>
      <x:c r="I53" s="11" t="str">
        <x:v>Keyword extraction only. Read page image and full context before promoting. English search cannot exclude Sinhala/Tamil or image-only content.</x:v>
      </x:c>
    </x:row>
    <x:row r="54" ht="140" customHeight="1">
      <x:c r="A54" s="8" t="str">
        <x:v>C00053</x:v>
      </x:c>
      <x:c r="B54" s="8" t="str">
        <x:v>SRC_0006</x:v>
      </x:c>
      <x:c r="C54" s="8" t="str">
        <x:v>Balangoda.zip::Balangoda/Balangoda Volume II PDF.pdf</x:v>
      </x:c>
      <x:c r="D54" s="18" t="n">
        <x:v>135</x:v>
      </x:c>
      <x:c r="E54" s="8" t="str">
        <x:v>bathroom, minimum width</x:v>
      </x:c>
      <x:c r="F54" s="8" t="str">
        <x:v>.4 2.4 1.8 0.4 SCHEDULE VI FORM “B” (Regulation 38) Internal Clear Dimensions of Bathrooms and Toilets Room Minimum Width (Metres) Minimum Length (Metres) Bath Toilet Combined Bath and Toilet 1.5 1.2 1.5 1.2 1.2 1.7 123 || HEDULE VI FORM “B” (Regulation 38) Internal Clear Dimensions of Bathrooms and Toilets Room Minimum Width (Metres) Minimum Length (Metres) Bath Toilet Combined Bath and Toilet 1.5 1.2 1.5 1.2 1.2 1.7 123</x:v>
      </x:c>
      <x:c r="G54" s="8" t="str">
        <x:v>candidate_unreviewed</x:v>
      </x:c>
      <x:c r="H54" s="21" t="b">
        <x:v>0</x:v>
      </x:c>
      <x:c r="I54" s="8" t="str">
        <x:v>Keyword extraction only. Read page image and full context before promoting. English search cannot exclude Sinhala/Tamil or image-only content.</x:v>
      </x:c>
    </x:row>
    <x:row r="55" ht="364" customHeight="1">
      <x:c r="A55" s="11" t="str">
        <x:v>C00054</x:v>
      </x:c>
      <x:c r="B55" s="11" t="str">
        <x:v>SRC_0006</x:v>
      </x:c>
      <x:c r="C55" s="11" t="str">
        <x:v>Balangoda.zip::Balangoda/Balangoda Volume II PDF.pdf</x:v>
      </x:c>
      <x:c r="D55" s="22" t="n">
        <x:v>136</x:v>
      </x:c>
      <x:c r="E55" s="11" t="str">
        <x:v>bathroom, stair case</x:v>
      </x:c>
      <x:c r="F55" s="11" t="str">
        <x:v>SCHEDULE VI FORM “C” (Regulation 42) Stair Cases Type Width of Stairs (cm) Minimum Head Riser (m) Riser (cm) Tread (cm) (a) Internal stairs serving one upper floor only (b) Stairs in building used as place of public assembly and public (c) All other types 75 105 90 2.0 2.1 2.1 19 17.5 17.5 22.5 22.5 22.5 SCHEDUEL VI FORM "D" (Regulation 46) Aggregate Constructed Area of Openings Category Aggregate unobstructed area of opening for Natural Lightning and Ventilation % of area openable (1) Bathroom and toilet (2) Vehicle Parking Garage (3) Factories and Warehouses || gate unobstructed area of opening for Natural Lightning and Ventilation % of area openable (1) Bathroom and toilet (2) Vehicle Parking Garage (3) Factories and Warehouses (4) All other rooms 1/10 1/10 1/10 1/7 100 50 50 50 SCHEDULE VI FORM “E” Regulation 56 Specifications as to Lifts i. Lift at least at the main entrance and others shall be suitably installed for buildings with five and above stories. The main lift to be of 12 – 16 passenger capacity while others to be 8 – 12 passenger capacity. ii. Medium speed lifts shall be used for 5 – 10 storey buildings. iii. High speed lifts shall be used for buildings taller than that. 124</x:v>
      </x:c>
      <x:c r="G55" s="11" t="str">
        <x:v>candidate_unreviewed</x:v>
      </x:c>
      <x:c r="H55" s="24" t="b">
        <x:v>0</x:v>
      </x:c>
      <x:c r="I55" s="11" t="str">
        <x:v>Keyword extraction only. Read page image and full context before promoting. English search cannot exclude Sinhala/Tamil or image-only content.</x:v>
      </x:c>
    </x:row>
    <x:row r="56" ht="84" customHeight="1">
      <x:c r="A56" s="8" t="str">
        <x:v>C00055</x:v>
      </x:c>
      <x:c r="B56" s="8" t="str">
        <x:v>SRC_0006</x:v>
      </x:c>
      <x:c r="C56" s="8" t="str">
        <x:v>Balangoda.zip::Balangoda/Balangoda Volume II PDF.pdf</x:v>
      </x:c>
      <x:c r="D56" s="18" t="n">
        <x:v>140</x:v>
      </x:c>
      <x:c r="E56" s="8" t="str">
        <x:v>minimum width</x:v>
      </x:c>
      <x:c r="F56" s="8" t="str">
        <x:v>Parking Area  When a parking area is provided, one or more parking spaces for wheelchair users (minimum width : 35 cm) shall be provided.  The said space shall be located close to the entrance/exit of the parking area. 128</x:v>
      </x:c>
      <x:c r="G56" s="8" t="str">
        <x:v>candidate_unreviewed</x:v>
      </x:c>
      <x:c r="H56" s="21" t="b">
        <x:v>0</x:v>
      </x:c>
      <x:c r="I56" s="8" t="str">
        <x:v>Keyword extraction only. Read page image and full context before promoting. English search cannot exclude Sinhala/Tamil or image-only content.</x:v>
      </x:c>
    </x:row>
    <x:row r="57" ht="644" customHeight="1">
      <x:c r="A57" s="11" t="str">
        <x:v>C00056</x:v>
      </x:c>
      <x:c r="B57" s="11" t="str">
        <x:v>SRC_0007</x:v>
      </x:c>
      <x:c r="C57" s="11" t="str">
        <x:v>BandarawelaE.pdf</x:v>
      </x:c>
      <x:c r="D57" s="22" t="n">
        <x:v>115</x:v>
      </x:c>
      <x:c r="E57" s="11" t="str">
        <x:v>bathroom, bed room, light and ventilation, minimum floor area</x:v>
      </x:c>
      <x:c r="F57" s="11" t="str">
        <x:v>accommodation for three or more persons occupied. Table No. 6.3 : Rules applicable to hostels Bed room The minimum floor area for every three occupants room shall be 09 square meters, with a minimum of 2.5 meters per side. Common Room Should not be less than 10 square meters. One out of every 09 persons should have accommodation for guest. Toilet and Bathroom facilities Should be provided Electricity Adequate electricity should be provided for each room. Water If potable water is not available from a main pipe line, the source of water must be obtained under the approval of the Community Health Officer. Source:Urban development Authority-2023 Tution Class Table No. 6.4 : Rules applicable to Tution Class Lecture hall When || for three or more persons occupied. Table No. 6.3 : Rules applicable to hostels Bed room The minimum floor area for every three occupants room shall be 09 square meters, with a minimum of 2.5 meters per side. Common Room Should not be less than 10 square meters. One out of every 09 persons should have accommodation for guest. Toilet and Bathroom facilities Should be provided Electricity Adequate electricity should be provided for each room. Water If potable water is not available from a main pipe line, the source of water must be obtained under the approval of the Community Health Officer. Source:Urban development Authority-2023 Tution Class Table No. 6.4 : Rules applicable to Tution Class Lecture hall When open to the openings to || n 10 square meters. One out of every 09 persons should have accommodation for guest. Toilet and Bathroom facilities Should be provided Electricity Adequate electricity should be provided for each room. Water If potable water is not available from a main pipe line, the source of water must be obtained under the approval of the Community Health Officer. Source:Urban development Authority-2023 Tution Class Table No. 6.4 : Rules applicable to Tution Class Lecture hall When open to the openings to get natural light and ventilation, the light and ventilation from that window can be obtained only up to 7 meters from the outer edge of the window of the hall being served. Source:Urban development Authority-2023 6.3.2 Tran</x:v>
      </x:c>
      <x:c r="G57" s="11" t="str">
        <x:v>candidate_unreviewed</x:v>
      </x:c>
      <x:c r="H57" s="24" t="b">
        <x:v>0</x:v>
      </x:c>
      <x:c r="I57" s="11" t="str">
        <x:v>Keyword extraction only. Read page image and full context before promoting. English search cannot exclude Sinhala/Tamil or image-only content.</x:v>
      </x:c>
    </x:row>
    <x:row r="58" ht="196" customHeight="1">
      <x:c r="A58" s="8" t="str">
        <x:v>C00057</x:v>
      </x:c>
      <x:c r="B58" s="8" t="str">
        <x:v>SRC_0007</x:v>
      </x:c>
      <x:c r="C58" s="8" t="str">
        <x:v>BandarawelaE.pdf</x:v>
      </x:c>
      <x:c r="D58" s="18" t="n">
        <x:v>120</x:v>
      </x:c>
      <x:c r="E58" s="8" t="str">
        <x:v>minimum width</x:v>
      </x:c>
      <x:c r="F58" s="8" t="str">
        <x:v>elimada road upto Atampitiya road, Bandarawela district hospital 1.4 Improvement of Alley Ways Minimum width 1.5m. lighting should be instaled. Picture No. 6.9: Improvement of Alley Ways source: Internet 1. Main Street – Near Araliya Stores 2. Main Street – Near DFCC Bank 3. Main Street – Near Parashakthi Agency upto Senanayake Road 1.5 Development of Under Ground Pedestrian Path i. Main junction – Three side pedestrian network towards Welimada Road, Badulla Road and Bus stand . ii. From Commercial complex of Municipal Council Connecting left and right hand side of the Dharma Vijaya Mawatha</x:v>
      </x:c>
      <x:c r="G58" s="8" t="str">
        <x:v>candidate_unreviewed</x:v>
      </x:c>
      <x:c r="H58" s="21" t="b">
        <x:v>0</x:v>
      </x:c>
      <x:c r="I58" s="8" t="str">
        <x:v>Keyword extraction only. Read page image and full context before promoting. English search cannot exclude Sinhala/Tamil or image-only content.</x:v>
      </x:c>
    </x:row>
    <x:row r="59" ht="224" customHeight="1">
      <x:c r="A59" s="11" t="str">
        <x:v>C00058</x:v>
      </x:c>
      <x:c r="B59" s="11" t="str">
        <x:v>SRC_0007</x:v>
      </x:c>
      <x:c r="C59" s="11" t="str">
        <x:v>BandarawelaE.pdf</x:v>
      </x:c>
      <x:c r="D59" s="22" t="n">
        <x:v>135</x:v>
      </x:c>
      <x:c r="E59" s="11" t="str">
        <x:v>minimum width</x:v>
      </x:c>
      <x:c r="F59" s="11" t="str">
        <x:v>ides of this street. • One-way traffic and provision of one-lane parking facilities. • Absence of minimum width of the frontage of the land plot. Picture No. 6.17 : Left side and Right side of the Main Street Source: Urban Development Authority,2022 Due to these negative circumstances and the presence of diversified commercial services along the street, this street has a high commuter population and high land price. Therefore, Commercial uses facing this street are expected to be regularized and promoted through zoning regulations. • Permitted use. • Minimum site frontage. • Provide parking facilities. • Building height. Picture No. 6.18 : Proposed development of left side and right side of the main streeet Source: Urban Deve</x:v>
      </x:c>
      <x:c r="G59" s="11" t="str">
        <x:v>candidate_unreviewed</x:v>
      </x:c>
      <x:c r="H59" s="24" t="b">
        <x:v>0</x:v>
      </x:c>
      <x:c r="I59" s="11" t="str">
        <x:v>Keyword extraction only. Read page image and full context before promoting. English search cannot exclude Sinhala/Tamil or image-only content.</x:v>
      </x:c>
    </x:row>
    <x:row r="60" ht="126" customHeight="1">
      <x:c r="A60" s="8" t="str">
        <x:v>C00059</x:v>
      </x:c>
      <x:c r="B60" s="8" t="str">
        <x:v>SRC_0007</x:v>
      </x:c>
      <x:c r="C60" s="8" t="str">
        <x:v>BandarawelaE.pdf</x:v>
      </x:c>
      <x:c r="D60" s="18" t="n">
        <x:v>143</x:v>
      </x:c>
      <x:c r="E60" s="8" t="str">
        <x:v>minimum width</x:v>
      </x:c>
      <x:c r="F60" s="8" t="str">
        <x:v>e following requirements should be fulfilled in connection with the Alleyways. i. Lighting ii. Minimum width 1.5m. iii. Flower beds 6.5.2.4 landscape of Junctions The identity of the Bandarawela city is the it’s environment and the purpose of this is to convey it to the people entering the city through the unique environment. The proposed intersections for this are as follows.</x:v>
      </x:c>
      <x:c r="G60" s="8" t="str">
        <x:v>candidate_unreviewed</x:v>
      </x:c>
      <x:c r="H60" s="21" t="b">
        <x:v>0</x:v>
      </x:c>
      <x:c r="I60" s="8" t="str">
        <x:v>Keyword extraction only. Read page image and full context before promoting. English search cannot exclude Sinhala/Tamil or image-only content.</x:v>
      </x:c>
    </x:row>
    <x:row r="61" ht="448" customHeight="1">
      <x:c r="A61" s="11" t="str">
        <x:v>C00060</x:v>
      </x:c>
      <x:c r="B61" s="11" t="str">
        <x:v>SRC_0007</x:v>
      </x:c>
      <x:c r="C61" s="11" t="str">
        <x:v>BandarawelaE.pdf</x:v>
      </x:c>
      <x:c r="D61" s="22" t="n">
        <x:v>221</x:v>
      </x:c>
      <x:c r="E61" s="11" t="str">
        <x:v>minimum width, plot coverage</x:v>
      </x:c>
      <x:c r="F61" s="11" t="str">
        <x:v>sidered for the allowable Floor Area Ratio for the proposed development. But while calculating the plot coverage percentage, the rest of the plot, excluding the portion belonging to the street line/proposed road width should be considered. 6. In cases where the development premises face more than one road having right of way with a minimum width of 6 m. or more than that and connected to main roads independently, the sum of the widths of all those roads may be considered as the access road width to calculate the permissible development on a case-by-case basis 7. In cases where any land belongs to two or more zones, the designated zone of the land is determined as the zone which provides the main access to the respective lot. When such plot o || ed. 6. In cases where the development premises face more than one road having right of way with a minimum width of 6 m. or more than that and connected to main roads independently, the sum of the widths of all those roads may be considered as the access road width to calculate the permissible development on a case-by-case basis 7. In cases where any land belongs to two or more zones, the designated zone of the land is determined as the zone which provides the main access to the respective lot. When such plot of land , is accessed by two or more roads of the same width the zone in which higher portion of land is fallen shall be considered as the designated zone. *This regulation is not applicable for conservation zones. 8. If a land portion</x:v>
      </x:c>
      <x:c r="G61" s="11" t="str">
        <x:v>candidate_unreviewed</x:v>
      </x:c>
      <x:c r="H61" s="24" t="b">
        <x:v>0</x:v>
      </x:c>
      <x:c r="I61" s="11" t="str">
        <x:v>Keyword extraction only. Read page image and full context before promoting. English search cannot exclude Sinhala/Tamil or image-only content.</x:v>
      </x:c>
    </x:row>
    <x:row r="62" ht="98" customHeight="1">
      <x:c r="A62" s="8" t="str">
        <x:v>C00061</x:v>
      </x:c>
      <x:c r="B62" s="8" t="str">
        <x:v>SRC_0007</x:v>
      </x:c>
      <x:c r="C62" s="8" t="str">
        <x:v>BandarawelaE.pdf</x:v>
      </x:c>
      <x:c r="D62" s="18" t="n">
        <x:v>225</x:v>
      </x:c>
      <x:c r="E62" s="8" t="str">
        <x:v>minimum width</x:v>
      </x:c>
      <x:c r="F62" s="8" t="str">
        <x:v>velopment activities. 1 Width of the stair 1.8 meters 2 Maximum height of stairs 6 inches 3 Minimum width of stairs 12 inches 4 Maximum legnth of stairs 300 meters 5 Fall/ Tread width Every 20 steps (Minimum 1.8m*m1) 6 Building line 1 meter from the edge</x:v>
      </x:c>
      <x:c r="G62" s="8" t="str">
        <x:v>candidate_unreviewed</x:v>
      </x:c>
      <x:c r="H62" s="21" t="b">
        <x:v>0</x:v>
      </x:c>
      <x:c r="I62" s="8" t="str">
        <x:v>Keyword extraction only. Read page image and full context before promoting. English search cannot exclude Sinhala/Tamil or image-only content.</x:v>
      </x:c>
    </x:row>
    <x:row r="63" ht="490" customHeight="1">
      <x:c r="A63" s="11" t="str">
        <x:v>C00062</x:v>
      </x:c>
      <x:c r="B63" s="11" t="str">
        <x:v>SRC_0007</x:v>
      </x:c>
      <x:c r="C63" s="11" t="str">
        <x:v>BandarawelaE.pdf</x:v>
      </x:c>
      <x:c r="D63" s="22" t="n">
        <x:v>227</x:v>
      </x:c>
      <x:c r="E63" s="11" t="str">
        <x:v>minimum width, plot coverage</x:v>
      </x:c>
      <x:c r="F63" s="11" t="str">
        <x:v>ng specifications are applicable in the development of existing and new Alleyways in the city. a. Minimum width 1.8 meter. b. Lighting should be done. c. Landscaping should be done. 43. In all these regions, the concept of allotment gardening will be given priority and consideration will be given to increase the percentage of floor area ratio up to a maximum of 30% as per the percentage of the allocation of land for the allotment gardening. 44. Number of Floors for 3m, 4.5m roads and stairs with a minimum width of 1.8m should be placed as per form “B”. (For residential, commercial (retail) and tourist uses only). Form "B"– number of floors for the roads of 3 m, 4.5 m and 1.8 m steped roads minimum width of the road minimum road || on of land for the allotment gardening. 44. Number of Floors for 3m, 4.5m roads and stairs with a minimum width of 1.8m should be placed as per form “B”. (For residential, commercial (retail) and tourist uses only). Form "B"– number of floors for the roads of 3 m, 4.5 m and 1.8 m steped roads minimum width of the road minimum road frontage * Plot Coverage Maximum no. of Floors Zone Factor 0.5 - 0.74 Zone Factor 0.75 - 1.24 Zone Factor 1.25 - 3.49 3 m. 6 m. 65% 1 (G) 2 (G+1) 3 (G+2) 4.5 m. 6 m. 65% 1 (G) 2 (G+1) 3 (G+2) 1.8 m. (steps**) 6 m. 65% 1 (G) 2 (G+1) 3 (G+2) The number of floors are given above including parking spaces. The maximum height of the building should be less than 10 meters. The || less than 10 meters. The number of housing units for each roads will not change. * In cases where plot coverage percentages are not specified under zonning regulations. ** For residential, commercial (retail) and tourist uses only.</x:v>
      </x:c>
      <x:c r="G63" s="11" t="str">
        <x:v>candidate_unreviewed</x:v>
      </x:c>
      <x:c r="H63" s="24" t="b">
        <x:v>0</x:v>
      </x:c>
      <x:c r="I63" s="11" t="str">
        <x:v>Keyword extraction only. Read page image and full context before promoting. English search cannot exclude Sinhala/Tamil or image-only content.</x:v>
      </x:c>
    </x:row>
    <x:row r="64" ht="602" customHeight="1">
      <x:c r="A64" s="8" t="str">
        <x:v>C00063</x:v>
      </x:c>
      <x:c r="B64" s="8" t="str">
        <x:v>SRC_0007</x:v>
      </x:c>
      <x:c r="C64" s="8" t="str">
        <x:v>BandarawelaE.pdf</x:v>
      </x:c>
      <x:c r="D64" s="18" t="n">
        <x:v>230</x:v>
      </x:c>
      <x:c r="E64" s="8" t="str">
        <x:v>bathroom, bed room, light and ventilation, minimum floor area</x:v>
      </x:c>
      <x:c r="F64" s="8" t="str">
        <x:v>mum specifications required if accommodation facilities are maintained with below elements. Bed rooms The minimum floor area for every three occupants shall be 09 square meters, with a minimum of 2.5 meters per side. Common room Should not be less than 10 square meters. One out of every 09 people should have guest accommodation. Toilet and bathroom facilities Per 5 persons -1 Toilet Per 5 Persons -1 Bathroom Electricity Adequate electricity should be provided for each room. Water If potable water is not available from a main supply system, the source of water must be obtained under the approval of the Community Health Officer. b. Tution Classes Lecture hall When open to the opening receiving natural light an || ons required if accommodation facilities are maintained with below elements. Bed rooms The minimum floor area for every three occupants shall be 09 square meters, with a minimum of 2.5 meters per side. Common room Should not be less than 10 square meters. One out of every 09 people should have guest accommodation. Toilet and bathroom facilities Per 5 persons -1 Toilet Per 5 Persons -1 Bathroom Electricity Adequate electricity should be provided for each room. Water If potable water is not available from a main supply system, the source of water must be obtained under the approval of the Community Health Officer. b. Tution Classes Lecture hall When open to the opening receiving natural light and ventilation, the light || ss than 10 square meters. One out of every 09 people should have guest accommodation. Toilet and bathroom facilities Per 5 persons -1 Toilet Per 5 Persons -1 Bathroom Electricity Adequate electricity should be provided for each room. Water If potable water is not available from a main supply system, the source of water must be obtained under the approval of the Community Health Officer. b. Tution Classes Lecture hall When open to the opening receiving natural light and ventilation, the light and ventilation of the window can be obtained only up to 7 meters from the outer edge of the window of the hall being served.</x:v>
      </x:c>
      <x:c r="G64" s="8" t="str">
        <x:v>candidate_unreviewed</x:v>
      </x:c>
      <x:c r="H64" s="21" t="b">
        <x:v>0</x:v>
      </x:c>
      <x:c r="I64" s="8" t="str">
        <x:v>Keyword extraction only. Read page image and full context before promoting. English search cannot exclude Sinhala/Tamil or image-only content.</x:v>
      </x:c>
    </x:row>
    <x:row r="65" ht="154" customHeight="1">
      <x:c r="A65" s="11" t="str">
        <x:v>C00064</x:v>
      </x:c>
      <x:c r="B65" s="11" t="str">
        <x:v>SRC_0007</x:v>
      </x:c>
      <x:c r="C65" s="11" t="str">
        <x:v>BandarawelaE.pdf</x:v>
      </x:c>
      <x:c r="D65" s="22" t="n">
        <x:v>232</x:v>
      </x:c>
      <x:c r="E65" s="11" t="str">
        <x:v>plot coverage, setbacks</x:v>
      </x:c>
      <x:c r="F65" s="11" t="str">
        <x:v>er of floors As per the form “A” in Schedule I &amp; “B” in Schedule II 7 Permissible Maximum Plot Coverage i. As per the form “B” in Schedule II and form “E” in Schedule III 8 Setbacks &amp; maximum height As per the form “E” in Schedule III 9 Minimum land extent for sub division 150 Sqm || e Maximum Plot Coverage i. As per the form “B” in Schedule II and form “E” in Schedule III 8 Setbacks &amp; maximum height As per the form “E” in Schedule III 9 Minimum land extent for sub division 150 Sqm</x:v>
      </x:c>
      <x:c r="G65" s="11" t="str">
        <x:v>candidate_unreviewed</x:v>
      </x:c>
      <x:c r="H65" s="24" t="b">
        <x:v>0</x:v>
      </x:c>
      <x:c r="I65" s="11" t="str">
        <x:v>Keyword extraction only. Read page image and full context before promoting. English search cannot exclude Sinhala/Tamil or image-only content.</x:v>
      </x:c>
    </x:row>
    <x:row r="66" ht="420" customHeight="1">
      <x:c r="A66" s="8" t="str">
        <x:v>C00065</x:v>
      </x:c>
      <x:c r="B66" s="8" t="str">
        <x:v>SRC_0007</x:v>
      </x:c>
      <x:c r="C66" s="8" t="str">
        <x:v>BandarawelaE.pdf</x:v>
      </x:c>
      <x:c r="D66" s="18" t="n">
        <x:v>234</x:v>
      </x:c>
      <x:c r="E66" s="8" t="str">
        <x:v>plot coverage, setbacks</x:v>
      </x:c>
      <x:c r="F66" s="8" t="str">
        <x:v>er of floors As per the form “A” in Schedule I &amp; “B” in Schedule II 7 Permissible Maximum Plot Coverage As per the form “B” in Schedule II and form “E” in Schedule III 8 Setbacks &amp; maximum height As per the form “E” in Schedule III 9 Minimum land extent for sub division Residential - 250 Sq.m. Commercial - 150 Sq.m 10 Permissible uses As per the form “F” in Schedule IV &amp; “G” in Schedule V 11 Common zoning regulations i. The preliminary planning clearance for residential activities of more than 3000 square feet and commercial activities of more than 2000 square feet within this zone should be obtained from the Urban Development Authority ii. 50% of the portion of open area from the plot coverage in every || sible Maximum Plot Coverage As per the form “B” in Schedule II and form “E” in Schedule III 8 Setbacks &amp; maximum height As per the form “E” in Schedule III 9 Minimum land extent for sub division Residential - 250 Sq.m. Commercial - 150 Sq.m 10 Permissible uses As per the form “F” in Schedule IV &amp; “G” in Schedule V 11 Common zoning regulations i. The preliminary planning clearance for residential activities of more than 3000 square feet and commercial activities of more than 2000 square feet within this zone should be obtained from the Urban Development Authority ii. 50% of the portion of open area from the plot coverage in every development within this zone should be kept as green related development. i</x:v>
      </x:c>
      <x:c r="G66" s="8" t="str">
        <x:v>candidate_unreviewed</x:v>
      </x:c>
      <x:c r="H66" s="21" t="b">
        <x:v>0</x:v>
      </x:c>
      <x:c r="I66" s="8" t="str">
        <x:v>Keyword extraction only. Read page image and full context before promoting. English search cannot exclude Sinhala/Tamil or image-only content.</x:v>
      </x:c>
    </x:row>
    <x:row r="67" ht="392" customHeight="1">
      <x:c r="A67" s="11" t="str">
        <x:v>C00066</x:v>
      </x:c>
      <x:c r="B67" s="11" t="str">
        <x:v>SRC_0007</x:v>
      </x:c>
      <x:c r="C67" s="11" t="str">
        <x:v>BandarawelaE.pdf</x:v>
      </x:c>
      <x:c r="D67" s="22" t="n">
        <x:v>236</x:v>
      </x:c>
      <x:c r="E67" s="11" t="str">
        <x:v>plot coverage, setbacks</x:v>
      </x:c>
      <x:c r="F67" s="11" t="str">
        <x:v>er of floors As per the form “A” in Schedule I &amp; “B” in Schedule II 7 Permissible Maximum Plot Coverage As per the form “B” in Schedule II and form “E” in Schedule III 8 Setbacks &amp; maximum height As per the form “E” in Schedule III 9 Minimum land extent for sub division Residential - 250 Sq.m. Commercial - 150 Sq.m 10 Permissible uses As per the form “F” in Schedule IV &amp; “G” in Schedule V 11 Common zoning regulations The preliminary planning clearance for residential activities of more than 6000 square feet and commercial activities of more than 4000 square feet within this zone should be obtained from the Urban Development Authority Source : Urban Development Authority, 2023 || sible Maximum Plot Coverage As per the form “B” in Schedule II and form “E” in Schedule III 8 Setbacks &amp; maximum height As per the form “E” in Schedule III 9 Minimum land extent for sub division Residential - 250 Sq.m. Commercial - 150 Sq.m 10 Permissible uses As per the form “F” in Schedule IV &amp; “G” in Schedule V 11 Common zoning regulations The preliminary planning clearance for residential activities of more than 6000 square feet and commercial activities of more than 4000 square feet within this zone should be obtained from the Urban Development Authority Source : Urban Development Authority, 2023</x:v>
      </x:c>
      <x:c r="G67" s="11" t="str">
        <x:v>candidate_unreviewed</x:v>
      </x:c>
      <x:c r="H67" s="24" t="b">
        <x:v>0</x:v>
      </x:c>
      <x:c r="I67" s="11" t="str">
        <x:v>Keyword extraction only. Read page image and full context before promoting. English search cannot exclude Sinhala/Tamil or image-only content.</x:v>
      </x:c>
    </x:row>
    <x:row r="68" ht="364" customHeight="1">
      <x:c r="A68" s="8" t="str">
        <x:v>C00067</x:v>
      </x:c>
      <x:c r="B68" s="8" t="str">
        <x:v>SRC_0007</x:v>
      </x:c>
      <x:c r="C68" s="8" t="str">
        <x:v>BandarawelaE.pdf</x:v>
      </x:c>
      <x:c r="D68" s="18" t="n">
        <x:v>237</x:v>
      </x:c>
      <x:c r="E68" s="8" t="str">
        <x:v>plot coverage, setbacks</x:v>
      </x:c>
      <x:c r="F68" s="8" t="str">
        <x:v>er of floors As per the form “A” in Schedule I &amp; “B” in Schedule II 7 Permissible Maximum Plot Coverage As per the form “B” in Schedule II and form “E” in Schedule III 8 Setbacks &amp; maximum height As per the form “E” in Schedule III 9 Minimum land extent for sub division 1000 Sq.m. 10 Permissible uses As per the form “F” in Schedule IV &amp; “G” in Schedule V 11 Common zoning regulations i. Only tourism-related projects are permitted within forest reserves. The following regulations apply only to such development proposals. • Minimum land area – 40 perches • Approved plot coverage – 30% || sible Maximum Plot Coverage As per the form “B” in Schedule II and form “E” in Schedule III 8 Setbacks &amp; maximum height As per the form “E” in Schedule III 9 Minimum land extent for sub division 1000 Sq.m. 10 Permissible uses As per the form “F” in Schedule IV &amp; “G” in Schedule V 11 Common zoning regulations i. Only tourism-related projects are permitted within forest reserves. The following regulations apply only to such development proposals. • Minimum land area – 40 perches • Approved plot coverage – 30% || egulations apply only to such development proposals. • Minimum land area – 40 perches • Approved plot coverage – 30%</x:v>
      </x:c>
      <x:c r="G68" s="8" t="str">
        <x:v>candidate_unreviewed</x:v>
      </x:c>
      <x:c r="H68" s="21" t="b">
        <x:v>0</x:v>
      </x:c>
      <x:c r="I68" s="8" t="str">
        <x:v>Keyword extraction only. Read page image and full context before promoting. English search cannot exclude Sinhala/Tamil or image-only content.</x:v>
      </x:c>
    </x:row>
    <x:row r="69" ht="112" customHeight="1">
      <x:c r="A69" s="11" t="str">
        <x:v>C00068</x:v>
      </x:c>
      <x:c r="B69" s="11" t="str">
        <x:v>SRC_0007</x:v>
      </x:c>
      <x:c r="C69" s="11" t="str">
        <x:v>BandarawelaE.pdf</x:v>
      </x:c>
      <x:c r="D69" s="22" t="n">
        <x:v>243</x:v>
      </x:c>
      <x:c r="E69" s="11" t="str">
        <x:v>plot coverage</x:v>
      </x:c>
      <x:c r="F69" s="11" t="str">
        <x:v>in Street - Maximum 4 floors (12m) Dharma Wijaya Mawatha (Left Side) - Maximum 6 Floors (18m) 6 Plot Coverage 80% 7 Permitted uses Commercial Source : Urban Development Authority, 2023 Picture No. 8.3 : Cross-section of city center shopping area Source : Urban Development Authority, 2023 4 stories 6 stories Dharma Vijaya road</x:v>
      </x:c>
      <x:c r="G69" s="11" t="str">
        <x:v>candidate_unreviewed</x:v>
      </x:c>
      <x:c r="H69" s="24" t="b">
        <x:v>0</x:v>
      </x:c>
      <x:c r="I69" s="11" t="str">
        <x:v>Keyword extraction only. Read page image and full context before promoting. English search cannot exclude Sinhala/Tamil or image-only content.</x:v>
      </x:c>
    </x:row>
    <x:row r="70" ht="154" customHeight="1">
      <x:c r="A70" s="8" t="str">
        <x:v>C00069</x:v>
      </x:c>
      <x:c r="B70" s="8" t="str">
        <x:v>SRC_0007</x:v>
      </x:c>
      <x:c r="C70" s="8" t="str">
        <x:v>BandarawelaE.pdf</x:v>
      </x:c>
      <x:c r="D70" s="18" t="n">
        <x:v>244</x:v>
      </x:c>
      <x:c r="E70" s="8" t="str">
        <x:v>plot coverage</x:v>
      </x:c>
      <x:c r="F70" s="8" t="str">
        <x:v>cle Parking spaces Provide within the site 5 Building height Determine on the Zone Factor 6 Plot Coverage 70% 7 Permitted uses i. Shopping centers. ii. Multi-storied commercial centers. iii. Institutions/ Institutional Complexes. iv. Development activities related to tourism industry- banquet halls, hotels, restaurants etc. v. Parks Source : Urban Development Authority, 2023 Shop Shop Shop Shop Shop Shop Shop Shop Shop Shop Shop Shop Shop Shop Shop Shop Dharma Vijaya Road Main Street</x:v>
      </x:c>
      <x:c r="G70" s="8" t="str">
        <x:v>candidate_unreviewed</x:v>
      </x:c>
      <x:c r="H70" s="21" t="b">
        <x:v>0</x:v>
      </x:c>
      <x:c r="I70" s="8" t="str">
        <x:v>Keyword extraction only. Read page image and full context before promoting. English search cannot exclude Sinhala/Tamil or image-only content.</x:v>
      </x:c>
    </x:row>
    <x:row r="71" ht="252" customHeight="1">
      <x:c r="A71" s="11" t="str">
        <x:v>C00070</x:v>
      </x:c>
      <x:c r="B71" s="11" t="str">
        <x:v>SRC_0007</x:v>
      </x:c>
      <x:c r="C71" s="11" t="str">
        <x:v>BandarawelaE.pdf</x:v>
      </x:c>
      <x:c r="D71" s="22" t="n">
        <x:v>245</x:v>
      </x:c>
      <x:c r="E71" s="11" t="str">
        <x:v>plot coverage</x:v>
      </x:c>
      <x:c r="F71" s="11" t="str">
        <x:v>cle Parking spaces Provide within the site 5 Building height Determine on the Zone Factor 6 Plot Coverage 70% 7 Permitted uses i. Commercial centers ii. Development activities related to tourism industry- banquet halls, hotels, restaurants iii. Institutions iv. Residential v. Short Term Accommodation (Rooms) Source : Urban Development Authority, 2023 Table No. 8.10 : City center Lower Central Development Areas 1 Guide planning zone No. 4 2 Minimum plot size 150 Square meters 3 Road Frontage Minimum 6 meters. 4 Vehicle Parking spaces Provide within the site 5 Building height Maximum 4 Floors (G+3) Basements are approved in accordance with common Zoning guidelines No. 29. 6 Plot Coverage 70% || mum 4 Floors (G+3) Basements are approved in accordance with common Zoning guidelines No. 29. 6 Plot Coverage 70%</x:v>
      </x:c>
      <x:c r="G71" s="11" t="str">
        <x:v>candidate_unreviewed</x:v>
      </x:c>
      <x:c r="H71" s="24" t="b">
        <x:v>0</x:v>
      </x:c>
      <x:c r="I71" s="11" t="str">
        <x:v>Keyword extraction only. Read page image and full context before promoting. English search cannot exclude Sinhala/Tamil or image-only content.</x:v>
      </x:c>
    </x:row>
    <x:row r="72" ht="126" customHeight="1">
      <x:c r="A72" s="8" t="str">
        <x:v>C00071</x:v>
      </x:c>
      <x:c r="B72" s="8" t="str">
        <x:v>SRC_0007</x:v>
      </x:c>
      <x:c r="C72" s="8" t="str">
        <x:v>BandarawelaE.pdf</x:v>
      </x:c>
      <x:c r="D72" s="18" t="n">
        <x:v>246</x:v>
      </x:c>
      <x:c r="E72" s="8" t="str">
        <x:v>plot coverage</x:v>
      </x:c>
      <x:c r="F72" s="8" t="str">
        <x:v>arking spaces Provide within the site 5 Building height Determine based on the Zone Factor 6 Plot Coverage 70% 7 Permitted uses i. Commertial centers ii. Multi-storied commercial centers iii. Institutions iv. Development activities related to tourism industry- banquet halls, hotels, restaurants v. Parks vi. Multi-storied residential Source : Urban Development Authority, 2023</x:v>
      </x:c>
      <x:c r="G72" s="8" t="str">
        <x:v>candidate_unreviewed</x:v>
      </x:c>
      <x:c r="H72" s="21" t="b">
        <x:v>0</x:v>
      </x:c>
      <x:c r="I72" s="8" t="str">
        <x:v>Keyword extraction only. Read page image and full context before promoting. English search cannot exclude Sinhala/Tamil or image-only content.</x:v>
      </x:c>
    </x:row>
    <x:row r="73" ht="210" customHeight="1">
      <x:c r="A73" s="11" t="str">
        <x:v>C00072</x:v>
      </x:c>
      <x:c r="B73" s="11" t="str">
        <x:v>SRC_0007</x:v>
      </x:c>
      <x:c r="C73" s="11" t="str">
        <x:v>BandarawelaE.pdf</x:v>
      </x:c>
      <x:c r="D73" s="22" t="n">
        <x:v>250</x:v>
      </x:c>
      <x:c r="E73" s="11" t="str">
        <x:v>plot coverage</x:v>
      </x:c>
      <x:c r="F73" s="11" t="str">
        <x:v>" Number of Floors for 3.0m. and 4.5m. wide roads Minimum Road Width Minimum Site Frontage plot Coverage* Maximum Number of Floors Zone Factor 0.5 - 0.74 Zone Factor 0.75 - 1.24 Zone Factor 1.25 - 3.49 Zone Factor 3.50 - 4.00 3.0 Meters 6 Meters 65% 1 (G) 2 (G+1) 3 (G+2) 3 (G+2) 4.5 Meters 6 Meters 65% 1 (G) 2 (G+1) 3 (G+2) 4 (G+3) Number of floors are indicated including parking areas. Number of units allowed for each road shall not changed. * Where not plot coverage specified under the zoning regulations || including parking areas. Number of units allowed for each road shall not changed. * Where not plot coverage specified under the zoning regulations</x:v>
      </x:c>
      <x:c r="G73" s="11" t="str">
        <x:v>candidate_unreviewed</x:v>
      </x:c>
      <x:c r="H73" s="24" t="b">
        <x:v>0</x:v>
      </x:c>
      <x:c r="I73" s="11" t="str">
        <x:v>Keyword extraction only. Read page image and full context before promoting. English search cannot exclude Sinhala/Tamil or image-only content.</x:v>
      </x:c>
    </x:row>
    <x:row r="74" ht="602" customHeight="1">
      <x:c r="A74" s="8" t="str">
        <x:v>C00073</x:v>
      </x:c>
      <x:c r="B74" s="8" t="str">
        <x:v>SRC_0007</x:v>
      </x:c>
      <x:c r="C74" s="8" t="str">
        <x:v>BandarawelaE.pdf</x:v>
      </x:c>
      <x:c r="D74" s="18" t="n">
        <x:v>251</x:v>
      </x:c>
      <x:c r="E74" s="8" t="str">
        <x:v>plot coverage, setbacks</x:v>
      </x:c>
      <x:c r="F74" s="8" t="str">
        <x:v>Bandarawela Development Plan 143 Schedule III – Form "E": . Setbacks and Open Spaces published by the Urban Development Authority under the Gazette No. 2235/54 dated 07/08/2021 Form "E": Setbacks and Open Spaces Building Height (m) Minimum Site Frontage (m) Plot Coverage* Rear Space (m) Side Space (m) light Well for NLV Non Residential Residential When no NLV is taking this end (m) When NLV is taking this end (m) When no NLV is taking this end (m) When NLV is taking this end (m) Minimum Width (m) Minimum Area (Sq.m.) Less than 7 6 80%** 65% 2.3 meters 2.3 meters - 2.3 meters 2.3 meters. 5 Sq.m. 7 less than 15 6 65% 65% 3.0 meters 3.0 meters - 3.0 meters 3 || shed by the Urban Development Authority under the Gazette No. 2235/54 dated 07/08/2021 Form "E": Setbacks and Open Spaces Building Height (m) Minimum Site Frontage (m) Plot Coverage* Rear Space (m) Side Space (m) light Well for NLV Non Residential Residential When no NLV is taking this end (m) When NLV is taking this end (m) When no NLV is taking this end (m) When NLV is taking this end (m) Minimum Width (m) Minimum Area (Sq.m.) Less than 7 6 80%** 65% 2.3 meters 2.3 meters - 2.3 meters 2.3 meters. 5 Sq.m. 7 less than 15 6 65% 65% 3.0 meters 3.0 meters - 3.0 meters 3.0 meters. 9 Sq.m. 15 less than 30 12 65% 65% 4.0 meters 4.0 meters 1.0 m. &amp; 3.0m. 4.0 meters 4.0 meters. 16 Sq.m. 30 || 07/08/2021 Form "E": Setbacks and Open Spaces Building Height (m) Minimum Site Frontage (m) Plot Coverage* Rear Space (m) Side Space (m) light Well for NLV Non Residential Residential When no NLV is taking this end (m) When NLV is taking this end (m) When no NLV is taking this end (m) When NLV is taking this end (m) Minimum Width (m) Minimum Area (Sq.m.) Less than 7 6 80%** 65% 2.3 meters 2.3 meters - 2.3 meters 2.3 meters. 5 Sq.m. 7 less than 15 6 65% 65% 3.0 meters 3.0 meters - 3.0 meters 3.0 meters. 9 Sq.m. 15 less than 30 12 65% 65% 4.0 meters 4.0 meters 1.0 m. &amp; 3.0m. 4.0 meters 4.0 meters. 16 Sq.m. 30 less than 50 20 65% 65% 4.0 meters 5.0 meters 3.0m. both side 5.0 meters</x:v>
      </x:c>
      <x:c r="G74" s="8" t="str">
        <x:v>candidate_unreviewed</x:v>
      </x:c>
      <x:c r="H74" s="21" t="b">
        <x:v>0</x:v>
      </x:c>
      <x:c r="I74" s="8" t="str">
        <x:v>Keyword extraction only. Read page image and full context before promoting. English search cannot exclude Sinhala/Tamil or image-only content.</x:v>
      </x:c>
    </x:row>
    <x:row r="75" ht="140" customHeight="1">
      <x:c r="A75" s="11" t="str">
        <x:v>C00074</x:v>
      </x:c>
      <x:c r="B75" s="11" t="str">
        <x:v>SRC_0008</x:v>
      </x:c>
      <x:c r="C75" s="11" t="str">
        <x:v>Batticaloa2024 (1).pdf</x:v>
      </x:c>
      <x:c r="D75" s="22" t="n">
        <x:v>83</x:v>
      </x:c>
      <x:c r="E75" s="11" t="str">
        <x:v>setback, setbacks</x:v>
      </x:c>
      <x:c r="F75" s="11" t="str">
        <x:v>Area (hectares) 69 Kallady Beach Park (Saravana road) to Batticaloa Light house (Palameenmadu) Setbacks Reservation:45 Restricted: 80 Total Setback: 125 COASTAL RESERVE &amp; SAND BAR Source: Batticaloa Divisional Secretariat Hand Book, 2021 || avana road) to Batticaloa Light house (Palameenmadu) Setbacks Reservation:45 Restricted: 80 Total Setback: 125 COASTAL RESERVE &amp; SAND BAR Source: Batticaloa Divisional Secretariat Hand Book, 2021</x:v>
      </x:c>
      <x:c r="G75" s="11" t="str">
        <x:v>candidate_unreviewed</x:v>
      </x:c>
      <x:c r="H75" s="24" t="b">
        <x:v>0</x:v>
      </x:c>
      <x:c r="I75" s="11" t="str">
        <x:v>Keyword extraction only. Read page image and full context before promoting. English search cannot exclude Sinhala/Tamil or image-only content.</x:v>
      </x:c>
    </x:row>
    <x:row r="76" ht="238" customHeight="1">
      <x:c r="A76" s="8" t="str">
        <x:v>C00075</x:v>
      </x:c>
      <x:c r="B76" s="8" t="str">
        <x:v>SRC_0008</x:v>
      </x:c>
      <x:c r="C76" s="8" t="str">
        <x:v>Batticaloa2024 (1).pdf</x:v>
      </x:c>
      <x:c r="D76" s="18" t="n">
        <x:v>180</x:v>
      </x:c>
      <x:c r="E76" s="8" t="str">
        <x:v>plot coverage</x:v>
      </x:c>
      <x:c r="F76" s="8" t="str">
        <x:v>zone can be identified as one of the areas which have residential character in the region. Maximum Plot Coverage • Residential - 65% • Non- Residential - 80% Other Details: • Lagoon reservation should be maintained as 10m. • Land filling is prohibited. • In necessary circumstances, additional work of institutions such as the CEA, SLLRDC, UDA, Agrarian Services Development Department, and the Department of Irrigation Acts can be considered. • If the paddy lands have been identified within the lands, those lands are not allowed to convert for other purposes. RESIDENTIAL DEVELOPMENT ZONE • Housing -Minimum land extent as 150 sq.m • Hostels-Minimum land extent as 150 sq.m • Quarters and workers houses-Minimum land extent as 150 sq.m • Daycare center-Minimu</x:v>
      </x:c>
      <x:c r="G76" s="8" t="str">
        <x:v>candidate_unreviewed</x:v>
      </x:c>
      <x:c r="H76" s="21" t="b">
        <x:v>0</x:v>
      </x:c>
      <x:c r="I76" s="8" t="str">
        <x:v>Keyword extraction only. Read page image and full context before promoting. English search cannot exclude Sinhala/Tamil or image-only content.</x:v>
      </x:c>
    </x:row>
    <x:row r="77" ht="238" customHeight="1">
      <x:c r="A77" s="11" t="str">
        <x:v>C00076</x:v>
      </x:c>
      <x:c r="B77" s="11" t="str">
        <x:v>SRC_0008</x:v>
      </x:c>
      <x:c r="C77" s="11" t="str">
        <x:v>Batticaloa2024 (1).pdf</x:v>
      </x:c>
      <x:c r="D77" s="22" t="n">
        <x:v>181</x:v>
      </x:c>
      <x:c r="E77" s="11" t="str">
        <x:v>plot coverage</x:v>
      </x:c>
      <x:c r="F77" s="11" t="str">
        <x:v>attract and boost the developments by encouraging commercial and residential developments. Maximum Plot Coverage Residential - 65% Non- Residential - 80% Other Details: • Lagoon reservation should be maintained as 10m • In necessary circumstances, additional work of institutions such as the CEA, SLLRDC, UDA, Agrarian Services Development Department, and the Department of Irrigation Acts can be considered. • If the paddy lands have been identified within the lands, those lands are not allowed to convert for other purposes. • Railway reservation should be maintained according to the Department of Railway. MIXED DEVELOPMENT ZONE • Housing -Minimum land extent as 150 sq.m • Hostels-Minimum land extent as 150 sq.m • Quarters and workers houses-Minimum land</x:v>
      </x:c>
      <x:c r="G77" s="11" t="str">
        <x:v>candidate_unreviewed</x:v>
      </x:c>
      <x:c r="H77" s="24" t="b">
        <x:v>0</x:v>
      </x:c>
      <x:c r="I77" s="11" t="str">
        <x:v>Keyword extraction only. Read page image and full context before promoting. English search cannot exclude Sinhala/Tamil or image-only content.</x:v>
      </x:c>
    </x:row>
    <x:row r="78" ht="238" customHeight="1">
      <x:c r="A78" s="8" t="str">
        <x:v>C00077</x:v>
      </x:c>
      <x:c r="B78" s="8" t="str">
        <x:v>SRC_0008</x:v>
      </x:c>
      <x:c r="C78" s="8" t="str">
        <x:v>Batticaloa2024 (1).pdf</x:v>
      </x:c>
      <x:c r="D78" s="18" t="n">
        <x:v>182</x:v>
      </x:c>
      <x:c r="E78" s="8" t="str">
        <x:v>plot coverage</x:v>
      </x:c>
      <x:c r="F78" s="8" t="str">
        <x:v>d here. The bustling streets of a downtown area are a classic example of a commercial zone. Maximum Plot Coverage • Residential - 65% • Non- Residential - 80% COMMERCIAL DEVELOPMENT ZONE • Housing -Minimum land extent as 150 sq.m • Bank/Insurance and financial institutions- Minimum land extent as 300 sq.m • Offices-Minimum land extent as 150 sq.m • Professional offices-Minimum land extent as 150 sq.m • Vehicle service centers-Minimum land extent as 1000 sq.m • Vehicle Repair Centers / Spray Painting Centers-Minimum land extent as 500 sq.m • Taxi Service Centers-Minimum land extent as 250 sq.m • Laundry/clothes cleaning centres- Minimum land extent as 150 sq.m • Grinding mill-Minimum land extent as 250 sq.m • Welding workshops-Minimum land extent</x:v>
      </x:c>
      <x:c r="G78" s="8" t="str">
        <x:v>candidate_unreviewed</x:v>
      </x:c>
      <x:c r="H78" s="21" t="b">
        <x:v>0</x:v>
      </x:c>
      <x:c r="I78" s="8" t="str">
        <x:v>Keyword extraction only. Read page image and full context before promoting. English search cannot exclude Sinhala/Tamil or image-only content.</x:v>
      </x:c>
    </x:row>
    <x:row r="79" ht="196" customHeight="1">
      <x:c r="A79" s="11" t="str">
        <x:v>C00078</x:v>
      </x:c>
      <x:c r="B79" s="11" t="str">
        <x:v>SRC_0008</x:v>
      </x:c>
      <x:c r="C79" s="11" t="str">
        <x:v>Batticaloa2024 (1).pdf</x:v>
      </x:c>
      <x:c r="D79" s="22" t="n">
        <x:v>185</x:v>
      </x:c>
      <x:c r="E79" s="11" t="str">
        <x:v>plot coverage</x:v>
      </x:c>
      <x:c r="F79" s="11" t="str">
        <x:v>Aviation Zone means that part of the Exclusive Event Zone designated as the Aviation Zone. Maximum Plot Coverage • Residential - 65% • Non- Residential - 80% Permissible uses • Airport related activities Other Details: • Lagoon reservation should be maintained as 10m • In necessary circumstances, additional work of institutions such as the CEA, SLLRDC, UDA, Agrarian Services Development Department, and the Department of Irrigation Acts can be considered. • If the paddy lands have been identified the lands are not allowed to convert for other purposes. AVIATION ZONE STRATEGIES | PLAN | ZONING PLAN</x:v>
      </x:c>
      <x:c r="G79" s="11" t="str">
        <x:v>candidate_unreviewed</x:v>
      </x:c>
      <x:c r="H79" s="24" t="b">
        <x:v>0</x:v>
      </x:c>
      <x:c r="I79" s="11" t="str">
        <x:v>Keyword extraction only. Read page image and full context before promoting. English search cannot exclude Sinhala/Tamil or image-only content.</x:v>
      </x:c>
    </x:row>
    <x:row r="80" ht="154" customHeight="1">
      <x:c r="A80" s="8" t="str">
        <x:v>C00079</x:v>
      </x:c>
      <x:c r="B80" s="8" t="str">
        <x:v>SRC_0008</x:v>
      </x:c>
      <x:c r="C80" s="8" t="str">
        <x:v>Batticaloa2024 (1).pdf</x:v>
      </x:c>
      <x:c r="D80" s="18" t="n">
        <x:v>186</x:v>
      </x:c>
      <x:c r="E80" s="8" t="str">
        <x:v>plot coverage</x:v>
      </x:c>
      <x:c r="F80" s="8" t="str">
        <x:v>light house and boating and Bone Island. Provide chances to experience the coastal beaches. Maximum Plot Coverage • Residential - 65% • Non- Residential - 80% Permissible uses: • Huts and Cabana type of the development Maximum height • 10m Other Details: • In necessary circumstances, additional work of institutions such as the CEA, SLLRDC, UDA and Divisional Secretariate Division, Manmunai North. ECO TOURISM DEVELOPMENT ZONE STRATEGIES | PLAN | ZONING PLAN</x:v>
      </x:c>
      <x:c r="G80" s="8" t="str">
        <x:v>candidate_unreviewed</x:v>
      </x:c>
      <x:c r="H80" s="21" t="b">
        <x:v>0</x:v>
      </x:c>
      <x:c r="I80" s="8" t="str">
        <x:v>Keyword extraction only. Read page image and full context before promoting. English search cannot exclude Sinhala/Tamil or image-only content.</x:v>
      </x:c>
    </x:row>
    <x:row r="81" ht="644" customHeight="1">
      <x:c r="A81" s="11" t="str">
        <x:v>C00080</x:v>
      </x:c>
      <x:c r="B81" s="11" t="str">
        <x:v>SRC_0008</x:v>
      </x:c>
      <x:c r="C81" s="11" t="str">
        <x:v>Batticaloa2024 (1).pdf</x:v>
      </x:c>
      <x:c r="D81" s="22" t="n">
        <x:v>187</x:v>
      </x:c>
      <x:c r="E81" s="11" t="str">
        <x:v>bedroom, setback, setbacks</x:v>
      </x:c>
      <x:c r="F81" s="11" t="str">
        <x:v>ECO TOURISM DEVELOPMENT ZONE | SPECIAL GUIDELINES 1. Site Setback • Setback limits of the Coast Conservation Department need to be considered within the coastal buffer zone (minimum 100 m) during the development approval stage. • Setbacks must be maintained in accordance with the regulations of the Coast Conservation Department, Urban Development Authority, etc. 2. Site Design • Permanent structures cannot be constructed or maintained within the buffer zone. • Soft developments (removable structures without permanent foundations) within setback limits can be maintained after obtaining specific clearances. • Relevant soil tests need to be conducted and approved by the relevant authorities. In areas with san || ECO TOURISM DEVELOPMENT ZONE | SPECIAL GUIDELINES 1. Site Setback • Setback limits of the Coast Conservation Department need to be considered within the coastal buffer zone (minimum 100 m) during the development approval stage. • Setbacks must be maintained in accordance with the regulations of the Coast Conservation Department, Urban Development Authority, etc. 2. Site Design • Permanent structures cannot be constructed or maintained within the buffer zone. • Soft developments (removable structures without permanent foundations) within setback limits can be maintained after obtaining specific clearances. • Relevant soil tests need to be conducted and approved by the relevant authorities. In areas with sand dunes, n || considered within the coastal buffer zone (minimum 100 m) during the development approval stage. • Setbacks must be maintained in accordance with the regulations of the Coast Conservation Department, Urban Development Authority, etc. 2. Site Design • Permanent structures cannot be constructed or maintained within the buffer zone. • Soft developments (removable structures without permanent foundations) within setback limits can be maintained after obtaining specific clearances. • Relevant soil tests need to be conducted and approved by the relevant authorities. In areas with sand dunes, no permanent structures should be built. • Design and construction developments should adapt to the natural characteristics and functions of the coastal ecosys</x:v>
      </x:c>
      <x:c r="G81" s="11" t="str">
        <x:v>candidate_unreviewed</x:v>
      </x:c>
      <x:c r="H81" s="24" t="b">
        <x:v>0</x:v>
      </x:c>
      <x:c r="I81" s="11" t="str">
        <x:v>Keyword extraction only. Read page image and full context before promoting. English search cannot exclude Sinhala/Tamil or image-only content.</x:v>
      </x:c>
    </x:row>
    <x:row r="82" ht="56" customHeight="1">
      <x:c r="A82" s="8" t="str">
        <x:v>C00081</x:v>
      </x:c>
      <x:c r="B82" s="8" t="str">
        <x:v>SRC_0008</x:v>
      </x:c>
      <x:c r="C82" s="8" t="str">
        <x:v>Batticaloa2024 (1).pdf</x:v>
      </x:c>
      <x:c r="D82" s="18" t="n">
        <x:v>189</x:v>
      </x:c>
      <x:c r="E82" s="8" t="str">
        <x:v>setbacks</x:v>
      </x:c>
      <x:c r="F82" s="8" t="str">
        <x:v>SCHEDULES Schedule II – Form “B": Number of Floors Schedule III – Form “E": Setbacks &amp; Open spaces</x:v>
      </x:c>
      <x:c r="G82" s="8" t="str">
        <x:v>candidate_unreviewed</x:v>
      </x:c>
      <x:c r="H82" s="21" t="b">
        <x:v>0</x:v>
      </x:c>
      <x:c r="I82" s="8" t="str">
        <x:v>Keyword extraction only. Read page image and full context before promoting. English search cannot exclude Sinhala/Tamil or image-only content.</x:v>
      </x:c>
    </x:row>
    <x:row r="83" ht="140" customHeight="1">
      <x:c r="A83" s="11" t="str">
        <x:v>C00082</x:v>
      </x:c>
      <x:c r="B83" s="11" t="str">
        <x:v>SRC_0009</x:v>
      </x:c>
      <x:c r="C83" s="11" t="str">
        <x:v>Batticaloa2024.pdf</x:v>
      </x:c>
      <x:c r="D83" s="22" t="n">
        <x:v>83</x:v>
      </x:c>
      <x:c r="E83" s="11" t="str">
        <x:v>setback, setbacks</x:v>
      </x:c>
      <x:c r="F83" s="11" t="str">
        <x:v>Area (hectares) 69 Kallady Beach Park (Saravana road) to Batticaloa Light house (Palameenmadu) Setbacks Reservation:45 Restricted: 80 Total Setback: 125 COASTAL RESERVE &amp; SAND BAR Source: Batticaloa Divisional Secretariat Hand Book, 2021 || avana road) to Batticaloa Light house (Palameenmadu) Setbacks Reservation:45 Restricted: 80 Total Setback: 125 COASTAL RESERVE &amp; SAND BAR Source: Batticaloa Divisional Secretariat Hand Book, 2021</x:v>
      </x:c>
      <x:c r="G83" s="11" t="str">
        <x:v>candidate_unreviewed</x:v>
      </x:c>
      <x:c r="H83" s="24" t="b">
        <x:v>0</x:v>
      </x:c>
      <x:c r="I83" s="11" t="str">
        <x:v>Keyword extraction only. Read page image and full context before promoting. English search cannot exclude Sinhala/Tamil or image-only content.</x:v>
      </x:c>
    </x:row>
    <x:row r="84" ht="238" customHeight="1">
      <x:c r="A84" s="8" t="str">
        <x:v>C00083</x:v>
      </x:c>
      <x:c r="B84" s="8" t="str">
        <x:v>SRC_0009</x:v>
      </x:c>
      <x:c r="C84" s="8" t="str">
        <x:v>Batticaloa2024.pdf</x:v>
      </x:c>
      <x:c r="D84" s="18" t="n">
        <x:v>180</x:v>
      </x:c>
      <x:c r="E84" s="8" t="str">
        <x:v>plot coverage</x:v>
      </x:c>
      <x:c r="F84" s="8" t="str">
        <x:v>zone can be identified as one of the areas which have residential character in the region. Maximum Plot Coverage • Residential - 65% • Non- Residential - 80% Other Details: • Lagoon reservation should be maintained as 10m. • Land filling is prohibited. • In necessary circumstances, additional work of institutions such as the CEA, SLLRDC, UDA, Agrarian Services Development Department, and the Department of Irrigation Acts can be considered. • If the paddy lands have been identified within the lands, those lands are not allowed to convert for other purposes. RESIDENTIAL DEVELOPMENT ZONE • Housing -Minimum land extent as 150 sq.m • Hostels-Minimum land extent as 150 sq.m • Quarters and workers houses-Minimum land extent as 150 sq.m • Daycare center-Minimu</x:v>
      </x:c>
      <x:c r="G84" s="8" t="str">
        <x:v>candidate_unreviewed</x:v>
      </x:c>
      <x:c r="H84" s="21" t="b">
        <x:v>0</x:v>
      </x:c>
      <x:c r="I84" s="8" t="str">
        <x:v>Keyword extraction only. Read page image and full context before promoting. English search cannot exclude Sinhala/Tamil or image-only content.</x:v>
      </x:c>
    </x:row>
    <x:row r="85" ht="238" customHeight="1">
      <x:c r="A85" s="11" t="str">
        <x:v>C00084</x:v>
      </x:c>
      <x:c r="B85" s="11" t="str">
        <x:v>SRC_0009</x:v>
      </x:c>
      <x:c r="C85" s="11" t="str">
        <x:v>Batticaloa2024.pdf</x:v>
      </x:c>
      <x:c r="D85" s="22" t="n">
        <x:v>181</x:v>
      </x:c>
      <x:c r="E85" s="11" t="str">
        <x:v>plot coverage</x:v>
      </x:c>
      <x:c r="F85" s="11" t="str">
        <x:v>attract and boost the developments by encouraging commercial and residential developments. Maximum Plot Coverage Residential - 65% Non- Residential - 80% Other Details: • Lagoon reservation should be maintained as 10m • In necessary circumstances, additional work of institutions such as the CEA, SLLRDC, UDA, Agrarian Services Development Department, and the Department of Irrigation Acts can be considered. • If the paddy lands have been identified within the lands, those lands are not allowed to convert for other purposes. • Railway reservation should be maintained according to the Department of Railway. MIXED DEVELOPMENT ZONE • Housing -Minimum land extent as 150 sq.m • Hostels-Minimum land extent as 150 sq.m • Quarters and workers houses-Minimum land</x:v>
      </x:c>
      <x:c r="G85" s="11" t="str">
        <x:v>candidate_unreviewed</x:v>
      </x:c>
      <x:c r="H85" s="24" t="b">
        <x:v>0</x:v>
      </x:c>
      <x:c r="I85" s="11" t="str">
        <x:v>Keyword extraction only. Read page image and full context before promoting. English search cannot exclude Sinhala/Tamil or image-only content.</x:v>
      </x:c>
    </x:row>
    <x:row r="86" ht="238" customHeight="1">
      <x:c r="A86" s="8" t="str">
        <x:v>C00085</x:v>
      </x:c>
      <x:c r="B86" s="8" t="str">
        <x:v>SRC_0009</x:v>
      </x:c>
      <x:c r="C86" s="8" t="str">
        <x:v>Batticaloa2024.pdf</x:v>
      </x:c>
      <x:c r="D86" s="18" t="n">
        <x:v>182</x:v>
      </x:c>
      <x:c r="E86" s="8" t="str">
        <x:v>plot coverage</x:v>
      </x:c>
      <x:c r="F86" s="8" t="str">
        <x:v>d here. The bustling streets of a downtown area are a classic example of a commercial zone. Maximum Plot Coverage • Residential - 65% • Non- Residential - 80% COMMERCIAL DEVELOPMENT ZONE • Housing -Minimum land extent as 150 sq.m • Bank/Insurance and financial institutions- Minimum land extent as 300 sq.m • Offices-Minimum land extent as 150 sq.m • Professional offices-Minimum land extent as 150 sq.m • Vehicle service centers-Minimum land extent as 1000 sq.m • Vehicle Repair Centers / Spray Painting Centers-Minimum land extent as 500 sq.m • Taxi Service Centers-Minimum land extent as 250 sq.m • Laundry/clothes cleaning centres- Minimum land extent as 150 sq.m • Grinding mill-Minimum land extent as 250 sq.m • Welding workshops-Minimum land extent</x:v>
      </x:c>
      <x:c r="G86" s="8" t="str">
        <x:v>candidate_unreviewed</x:v>
      </x:c>
      <x:c r="H86" s="21" t="b">
        <x:v>0</x:v>
      </x:c>
      <x:c r="I86" s="8" t="str">
        <x:v>Keyword extraction only. Read page image and full context before promoting. English search cannot exclude Sinhala/Tamil or image-only content.</x:v>
      </x:c>
    </x:row>
    <x:row r="87" ht="196" customHeight="1">
      <x:c r="A87" s="11" t="str">
        <x:v>C00086</x:v>
      </x:c>
      <x:c r="B87" s="11" t="str">
        <x:v>SRC_0009</x:v>
      </x:c>
      <x:c r="C87" s="11" t="str">
        <x:v>Batticaloa2024.pdf</x:v>
      </x:c>
      <x:c r="D87" s="22" t="n">
        <x:v>185</x:v>
      </x:c>
      <x:c r="E87" s="11" t="str">
        <x:v>plot coverage</x:v>
      </x:c>
      <x:c r="F87" s="11" t="str">
        <x:v>Aviation Zone means that part of the Exclusive Event Zone designated as the Aviation Zone. Maximum Plot Coverage • Residential - 65% • Non- Residential - 80% Permissible uses • Airport related activities Other Details: • Lagoon reservation should be maintained as 10m • In necessary circumstances, additional work of institutions such as the CEA, SLLRDC, UDA, Agrarian Services Development Department, and the Department of Irrigation Acts can be considered. • If the paddy lands have been identified the lands are not allowed to convert for other purposes. AVIATION ZONE STRATEGIES | PLAN | ZONING PLAN</x:v>
      </x:c>
      <x:c r="G87" s="11" t="str">
        <x:v>candidate_unreviewed</x:v>
      </x:c>
      <x:c r="H87" s="24" t="b">
        <x:v>0</x:v>
      </x:c>
      <x:c r="I87" s="11" t="str">
        <x:v>Keyword extraction only. Read page image and full context before promoting. English search cannot exclude Sinhala/Tamil or image-only content.</x:v>
      </x:c>
    </x:row>
    <x:row r="88" ht="154" customHeight="1">
      <x:c r="A88" s="8" t="str">
        <x:v>C00087</x:v>
      </x:c>
      <x:c r="B88" s="8" t="str">
        <x:v>SRC_0009</x:v>
      </x:c>
      <x:c r="C88" s="8" t="str">
        <x:v>Batticaloa2024.pdf</x:v>
      </x:c>
      <x:c r="D88" s="18" t="n">
        <x:v>186</x:v>
      </x:c>
      <x:c r="E88" s="8" t="str">
        <x:v>plot coverage</x:v>
      </x:c>
      <x:c r="F88" s="8" t="str">
        <x:v>light house and boating and Bone Island. Provide chances to experience the coastal beaches. Maximum Plot Coverage • Residential - 65% • Non- Residential - 80% Permissible uses: • Huts and Cabana type of the development Maximum height • 10m Other Details: • In necessary circumstances, additional work of institutions such as the CEA, SLLRDC, UDA and Divisional Secretariate Division, Manmunai North. ECO TOURISM DEVELOPMENT ZONE STRATEGIES | PLAN | ZONING PLAN</x:v>
      </x:c>
      <x:c r="G88" s="8" t="str">
        <x:v>candidate_unreviewed</x:v>
      </x:c>
      <x:c r="H88" s="21" t="b">
        <x:v>0</x:v>
      </x:c>
      <x:c r="I88" s="8" t="str">
        <x:v>Keyword extraction only. Read page image and full context before promoting. English search cannot exclude Sinhala/Tamil or image-only content.</x:v>
      </x:c>
    </x:row>
    <x:row r="89" ht="644" customHeight="1">
      <x:c r="A89" s="11" t="str">
        <x:v>C00088</x:v>
      </x:c>
      <x:c r="B89" s="11" t="str">
        <x:v>SRC_0009</x:v>
      </x:c>
      <x:c r="C89" s="11" t="str">
        <x:v>Batticaloa2024.pdf</x:v>
      </x:c>
      <x:c r="D89" s="22" t="n">
        <x:v>187</x:v>
      </x:c>
      <x:c r="E89" s="11" t="str">
        <x:v>bedroom, setback, setbacks</x:v>
      </x:c>
      <x:c r="F89" s="11" t="str">
        <x:v>ECO TOURISM DEVELOPMENT ZONE | SPECIAL GUIDELINES 1. Site Setback • Setback limits of the Coast Conservation Department need to be considered within the coastal buffer zone (minimum 100 m) during the development approval stage. • Setbacks must be maintained in accordance with the regulations of the Coast Conservation Department, Urban Development Authority, etc. 2. Site Design • Permanent structures cannot be constructed or maintained within the buffer zone. • Soft developments (removable structures without permanent foundations) within setback limits can be maintained after obtaining specific clearances. • Relevant soil tests need to be conducted and approved by the relevant authorities. In areas with san || ECO TOURISM DEVELOPMENT ZONE | SPECIAL GUIDELINES 1. Site Setback • Setback limits of the Coast Conservation Department need to be considered within the coastal buffer zone (minimum 100 m) during the development approval stage. • Setbacks must be maintained in accordance with the regulations of the Coast Conservation Department, Urban Development Authority, etc. 2. Site Design • Permanent structures cannot be constructed or maintained within the buffer zone. • Soft developments (removable structures without permanent foundations) within setback limits can be maintained after obtaining specific clearances. • Relevant soil tests need to be conducted and approved by the relevant authorities. In areas with sand dunes, n || considered within the coastal buffer zone (minimum 100 m) during the development approval stage. • Setbacks must be maintained in accordance with the regulations of the Coast Conservation Department, Urban Development Authority, etc. 2. Site Design • Permanent structures cannot be constructed or maintained within the buffer zone. • Soft developments (removable structures without permanent foundations) within setback limits can be maintained after obtaining specific clearances. • Relevant soil tests need to be conducted and approved by the relevant authorities. In areas with sand dunes, no permanent structures should be built. • Design and construction developments should adapt to the natural characteristics and functions of the coastal ecosys</x:v>
      </x:c>
      <x:c r="G89" s="11" t="str">
        <x:v>candidate_unreviewed</x:v>
      </x:c>
      <x:c r="H89" s="24" t="b">
        <x:v>0</x:v>
      </x:c>
      <x:c r="I89" s="11" t="str">
        <x:v>Keyword extraction only. Read page image and full context before promoting. English search cannot exclude Sinhala/Tamil or image-only content.</x:v>
      </x:c>
    </x:row>
    <x:row r="90" ht="56" customHeight="1">
      <x:c r="A90" s="8" t="str">
        <x:v>C00089</x:v>
      </x:c>
      <x:c r="B90" s="8" t="str">
        <x:v>SRC_0009</x:v>
      </x:c>
      <x:c r="C90" s="8" t="str">
        <x:v>Batticaloa2024.pdf</x:v>
      </x:c>
      <x:c r="D90" s="18" t="n">
        <x:v>189</x:v>
      </x:c>
      <x:c r="E90" s="8" t="str">
        <x:v>setbacks</x:v>
      </x:c>
      <x:c r="F90" s="8" t="str">
        <x:v>SCHEDULES Schedule II – Form “B": Number of Floors Schedule III – Form “E": Setbacks &amp; Open spaces</x:v>
      </x:c>
      <x:c r="G90" s="8" t="str">
        <x:v>candidate_unreviewed</x:v>
      </x:c>
      <x:c r="H90" s="21" t="b">
        <x:v>0</x:v>
      </x:c>
      <x:c r="I90" s="8" t="str">
        <x:v>Keyword extraction only. Read page image and full context before promoting. English search cannot exclude Sinhala/Tamil or image-only content.</x:v>
      </x:c>
    </x:row>
    <x:row r="91" ht="238" customHeight="1">
      <x:c r="A91" s="11" t="str">
        <x:v>C00090</x:v>
      </x:c>
      <x:c r="B91" s="11" t="str">
        <x:v>SRC_0011</x:v>
      </x:c>
      <x:c r="C91" s="11" t="str">
        <x:v>Dehiwala_Mount_Lavinia_Dev_Plan_eng.pdf</x:v>
      </x:c>
      <x:c r="D91" s="22" t="n">
        <x:v>154</x:v>
      </x:c>
      <x:c r="E91" s="11" t="str">
        <x:v>plot coverage</x:v>
      </x:c>
      <x:c r="F91" s="11" t="str">
        <x:v>icipal Council area remains completely bounded by the sea, the allowable building density and the plot coverage within the area in between the coastal belt and the Galle Road were decided considering the wind flow from the west boundary as well as the objective of promoting tourism industry within this area and also. It is expected to maintain a low building density and high green density in the forest reserve at the east boundary of the city and the eastern area bounded by the Veras River with the objective of maintaining the particular area as an environmental sensitive zone. As the northern and north eastern areas of the city consist of adequate infrastructure facilities, it is expected to develop these areas as resi­ dential, mixed and com</x:v>
      </x:c>
      <x:c r="G91" s="11" t="str">
        <x:v>candidate_unreviewed</x:v>
      </x:c>
      <x:c r="H91" s="24" t="b">
        <x:v>0</x:v>
      </x:c>
      <x:c r="I91" s="11" t="str">
        <x:v>Keyword extraction only. Read page image and full context before promoting. English search cannot exclude Sinhala/Tamil or image-only content.</x:v>
      </x:c>
    </x:row>
    <x:row r="92" ht="112" customHeight="1">
      <x:c r="A92" s="8" t="str">
        <x:v>C00091</x:v>
      </x:c>
      <x:c r="B92" s="8" t="str">
        <x:v>SRC_0011</x:v>
      </x:c>
      <x:c r="C92" s="8" t="str">
        <x:v>Dehiwala_Mount_Lavinia_Dev_Plan_eng.pdf</x:v>
      </x:c>
      <x:c r="D92" s="18" t="n">
        <x:v>248</x:v>
      </x:c>
      <x:c r="E92" s="8" t="str">
        <x:v>minimum width</x:v>
      </x:c>
      <x:c r="F92" s="8" t="str">
        <x:v>l be obtained from the institution where the relevant development approval was granted. VII. The minimum width of the access road for non-residential develop­ ments shall be 9m. Chapter 07 Development Zones, Development Regulations &amp; Guidelines ⸺ Common Zoning Regulations Applicable for Planning Area</x:v>
      </x:c>
      <x:c r="G92" s="8" t="str">
        <x:v>candidate_unreviewed</x:v>
      </x:c>
      <x:c r="H92" s="21" t="b">
        <x:v>0</x:v>
      </x:c>
      <x:c r="I92" s="8" t="str">
        <x:v>Keyword extraction only. Read page image and full context before promoting. English search cannot exclude Sinhala/Tamil or image-only content.</x:v>
      </x:c>
    </x:row>
    <x:row r="93" ht="448" customHeight="1">
      <x:c r="A93" s="11" t="str">
        <x:v>C00092</x:v>
      </x:c>
      <x:c r="B93" s="11" t="str">
        <x:v>SRC_0011</x:v>
      </x:c>
      <x:c r="C93" s="11" t="str">
        <x:v>Dehiwala_Mount_Lavinia_Dev_Plan_eng.pdf</x:v>
      </x:c>
      <x:c r="D93" s="22" t="n">
        <x:v>249</x:v>
      </x:c>
      <x:c r="E93" s="11" t="str">
        <x:v>minimum width, plot coverage</x:v>
      </x:c>
      <x:c r="F93" s="11" t="str">
        <x:v>VIII. In cases where the development premises face more than one road having right of way with a minimum width of 6 m or more that and connected to the main roads independently, the calculation of the permissible development may be considered while taking into account the total width of the access roads on a case-by-case basis IX. If the land within the street line is gifted for road without compen­ sation, the total area of the land shall be counted for the permissible floor area ratio of the proposed development. But plot coverage shall be calculated according to the remaining land area except excluding the part within the street line. X. The Urban Development Authority shall have powers to make made final decision where there is an issue || of the land shall be counted for the permissible floor area ratio of the proposed development. But plot coverage shall be calculated according to the remaining land area except excluding the part within the street line. X. The Urban Development Authority shall have powers to make made final decision where there is an issue regarding legalized plans, development or building regulations or its interpretation or practical application. XI. The recommendation of the Civil Aviation Authority shall be obtained for constructions within 1 km buffer from the Airport Runway. XII. The recommendations shall be obtained for all high-rise buildings from the Civil Aviation Authority, Ministry of Defense and Airport Camp. Chapter 07 Development Zones, Devel</x:v>
      </x:c>
      <x:c r="G93" s="11" t="str">
        <x:v>candidate_unreviewed</x:v>
      </x:c>
      <x:c r="H93" s="24" t="b">
        <x:v>0</x:v>
      </x:c>
      <x:c r="I93" s="11" t="str">
        <x:v>Keyword extraction only. Read page image and full context before promoting. English search cannot exclude Sinhala/Tamil or image-only content.</x:v>
      </x:c>
    </x:row>
    <x:row r="94" ht="126" customHeight="1">
      <x:c r="A94" s="8" t="str">
        <x:v>C00093</x:v>
      </x:c>
      <x:c r="B94" s="8" t="str">
        <x:v>SRC_0011</x:v>
      </x:c>
      <x:c r="C94" s="8" t="str">
        <x:v>Dehiwala_Mount_Lavinia_Dev_Plan_eng.pdf</x:v>
      </x:c>
      <x:c r="D94" s="18" t="n">
        <x:v>261</x:v>
      </x:c>
      <x:c r="E94" s="8" t="str">
        <x:v>plot coverage</x:v>
      </x:c>
      <x:c r="F94" s="8" t="str">
        <x:v>the zone • Sports complexes, pavilions, swimming pools are not counted for permissible maximum plot coverage. • The maximum height allowed for boundary walls (excluding the gate) facing the access road is 1m. • The Preliminary Planning Clearance shall be obtained from the Urban Development Authority Chapter 08 Zoning Regulations ⸺ Common / Public Open Area Zone</x:v>
      </x:c>
      <x:c r="G94" s="8" t="str">
        <x:v>candidate_unreviewed</x:v>
      </x:c>
      <x:c r="H94" s="21" t="b">
        <x:v>0</x:v>
      </x:c>
      <x:c r="I94" s="8" t="str">
        <x:v>Keyword extraction only. Read page image and full context before promoting. English search cannot exclude Sinhala/Tamil or image-only content.</x:v>
      </x:c>
    </x:row>
    <x:row r="95" ht="70" customHeight="1">
      <x:c r="A95" s="11" t="str">
        <x:v>C00094</x:v>
      </x:c>
      <x:c r="B95" s="11" t="str">
        <x:v>SRC_0011</x:v>
      </x:c>
      <x:c r="C95" s="11" t="str">
        <x:v>Dehiwala_Mount_Lavinia_Dev_Plan_eng.pdf</x:v>
      </x:c>
      <x:c r="D95" s="22" t="n">
        <x:v>288</x:v>
      </x:c>
      <x:c r="E95" s="11" t="str">
        <x:v>plot coverage</x:v>
      </x:c>
      <x:c r="F95" s="11" t="str">
        <x:v>cated including parking areas Number of units allowed for each road shall not be changed * Where no plot coverage specified under the zoning regulations</x:v>
      </x:c>
      <x:c r="G95" s="11" t="str">
        <x:v>candidate_unreviewed</x:v>
      </x:c>
      <x:c r="H95" s="24" t="b">
        <x:v>0</x:v>
      </x:c>
      <x:c r="I95" s="11" t="str">
        <x:v>Keyword extraction only. Read page image and full context before promoting. English search cannot exclude Sinhala/Tamil or image-only content.</x:v>
      </x:c>
    </x:row>
    <x:row r="96" ht="560" customHeight="1">
      <x:c r="A96" s="8" t="str">
        <x:v>C00095</x:v>
      </x:c>
      <x:c r="B96" s="8" t="str">
        <x:v>SRC_0011</x:v>
      </x:c>
      <x:c r="C96" s="8" t="str">
        <x:v>Dehiwala_Mount_Lavinia_Dev_Plan_eng.pdf</x:v>
      </x:c>
      <x:c r="D96" s="18" t="n">
        <x:v>289</x:v>
      </x:c>
      <x:c r="E96" s="8" t="str">
        <x:v>plot coverage, setbacks</x:v>
      </x:c>
      <x:c r="F96" s="8" t="str">
        <x:v>n the gazette notification No. 54/2235 dated 08.07.2021by the Urban Development Authority Form E - Setbacks &amp; Open Spaces Building Height (m) Minimum Site Fron- tage (m) Plot Coverage * Rear Space (m) Side Space (m) Light Well for NLV Non Residential Residential When no NLV is taking this end When NLV is taking this end When no NLV is taking this end When NLV is taking this end Minimum width Minimum Area Less than 7 6 80%** 65% 2.3m 2.3m - 2.3m 2.3m 5Sq.m 7 - Less than 15 6 65% 65% 3.0m 3.0m - 3.0m 3.0m 9Sq.m 15 - Less than 30 12 65% 65% 4.0m 4.0m 1.0m and 3.0m 4.0m 4.0m 16Sq.m 30 - Less than 50 20 65% 65% 4.0m 5.0m 3.0m both side 5.0m 5.0m 25Sq.m 50 - Less than 75 30 50%*** 50%*** 5.0m 6.0m 4.0m both side 6.0m 6.0m 36Sq.m 75 and above || lopment Authority Form E - Setbacks &amp; Open Spaces Building Height (m) Minimum Site Fron- tage (m) Plot Coverage * Rear Space (m) Side Space (m) Light Well for NLV Non Residential Residential When no NLV is taking this end When NLV is taking this end When no NLV is taking this end When NLV is taking this end Minimum width Minimum Area Less than 7 6 80%** 65% 2.3m 2.3m - 2.3m 2.3m 5Sq.m 7 - Less than 15 6 65% 65% 3.0m 3.0m - 3.0m 3.0m 9Sq.m 15 - Less than 30 12 65% 65% 4.0m 4.0m 1.0m and 3.0m 4.0m 4.0m 16Sq.m 30 - Less than 50 20 65% 65% 4.0m 5.0m 3.0m both side 5.0m 5.0m 25Sq.m 50 - Less than 75 30 50%*** 50%*** 5.0m 6.0m 4.0m both side 6.0m 6.0m 36Sq.m 75 and above Above 40 50%*** 50%*** 5.0m 6.0m 5.0m both side 6.0m 6.0m **** NLV - Natura || - Height between access road level to roof top or roof level (Including parking floors) *Where no Plot Coverage specified under the zoning regulations **The entire development is for non-residential activities ***65% plot coverage can be allowed only for the podium level not exceeding 20% of the tower height or 12 floors whichever is less ****Minimum area shall be increased by 1Sq.m for every additional 3m height</x:v>
      </x:c>
      <x:c r="G96" s="8" t="str">
        <x:v>candidate_unreviewed</x:v>
      </x:c>
      <x:c r="H96" s="21" t="b">
        <x:v>0</x:v>
      </x:c>
      <x:c r="I96" s="8" t="str">
        <x:v>Keyword extraction only. Read page image and full context before promoting. English search cannot exclude Sinhala/Tamil or image-only content.</x:v>
      </x:c>
    </x:row>
    <x:row r="97" ht="98" customHeight="1">
      <x:c r="A97" s="11" t="str">
        <x:v>C00096</x:v>
      </x:c>
      <x:c r="B97" s="11" t="str">
        <x:v>SRC_0013</x:v>
      </x:c>
      <x:c r="C97" s="11" t="str">
        <x:v>Ella Development Plan - English.pdf</x:v>
      </x:c>
      <x:c r="D97" s="22" t="n">
        <x:v>15</x:v>
      </x:c>
      <x:c r="E97" s="11" t="str">
        <x:v>setback</x:v>
      </x:c>
      <x:c r="F97" s="11" t="str">
        <x:v> ǤǤǤǤǤǤǤǤǤǤǤǤǤǤǤǤǤǤǤǤǤǤǤǤǤǤǤǤǤǤǤǤǤǤǤǤǤǤǤǤǤǤǤǤǤǤǤǤǤǤǤǤǤǤǤǤǤǤǤǤǤǤǤǤǤǤǤǤ ͤ͞͞ Table 7.3 : C - Setback ........................................................................................................................................... 283</x:v>
      </x:c>
      <x:c r="G97" s="11" t="str">
        <x:v>candidate_unreviewed</x:v>
      </x:c>
      <x:c r="H97" s="24" t="b">
        <x:v>0</x:v>
      </x:c>
      <x:c r="I97" s="11" t="str">
        <x:v>Keyword extraction only. Read page image and full context before promoting. English search cannot exclude Sinhala/Tamil or image-only content.</x:v>
      </x:c>
    </x:row>
    <x:row r="98" ht="602" customHeight="1">
      <x:c r="A98" s="8" t="str">
        <x:v>C00097</x:v>
      </x:c>
      <x:c r="B98" s="8" t="str">
        <x:v>SRC_0013</x:v>
      </x:c>
      <x:c r="C98" s="8" t="str">
        <x:v>Ella Development Plan - English.pdf</x:v>
      </x:c>
      <x:c r="D98" s="18" t="n">
        <x:v>213</x:v>
      </x:c>
      <x:c r="E98" s="8" t="str">
        <x:v>plot coverage, setback</x:v>
      </x:c>
      <x:c r="F98" s="8" t="str">
        <x:v>194 Ella Development Plan 2021-2030 Table 7.3 : C- Setback ͣǤ͞ǣ Ǧ ͟Ƭ͠Ǥ͡    ͜Ǥ͡Ǧ͜Ǥͣ͠    ͜Ǥͣ͡Ǧ͝Ǥ͞͠    ͝Ǥ͞͡Ǧ͟Ǥͥ͠    ͟Ǥ͜͡Ǧ͠Ǥ͜͜ ͟Ǥ͜ ͢ 65% 1 (G) 2 (G+1) 3 (G+2) 3 (G+2) ͠Ǥ͡ ͢ 65% 1 (G) 2 (G+1) 3 (G+2) 4 (G+3) Ǧ ͟Ǥ͜Ƭ͠Ǥ͡ Number of units allowed for each road shall not be changed * Where no plot coverage specified under the zoning regulations    Road Width Plot Coverage* Number of floors are indicated including parking areas  Site Frontage ͣ ͢ 80%** 65% 2.3m 2.3m - 2.3m 2.3m 5 Sq.m ͣ than 15 ͢ 65 || ͟Ǥ͜Ƭ͠Ǥ͡ Number of units allowed for each road shall not be changed * Where no plot coverage specified under the zoning regulations    Road Width Plot Coverage* Number of floors are indicated including parking areas  Site Frontage ͣ ͢ 80%** 65% 2.3m 2.3m - 2.3m 2.3m 5 Sq.m ͣ than 15 ͢ 65% 65% 3.0m 3.0m - 3.0m 3.0m 9 Sq.m Inter Mediate Rise 15 less ͟͜ 12 65% 65% 4.0m 4.0m 1.0m and 3.0m 4.0m 4.0m 16 Sq.m Middle Rise ͟͜ ͜͡ ͜͞ 65% 65% 4.0m 5.0m 3.0m both side 5.0m 5.0m 25 Sq.m ͜͡ ͣ͡ ͟͜ 50%*** 50%*** 5.0m 6.0m 4.0m both side 6.0m 6.0m 36 Sq.m ͣ͡ above ͜͠ 50%*** 50%*** 5.0m 6.0m 5.0m both side 6.0m 6.0m **** When NLV is taking this || oth side 6.0m 6.0m **** When NLV is taking this end   width   * Where no Plot Coverage specified under the zoning regulations Plot Coverage *  ȋȌ  Non Residen tial Resident ial ** The entire development is for non-residential activities *** 65% plot coverage can be allowed only for the podium level not exceeding 20% of the tower height or 12 floors which ever is less **** Minimum area shall be increased by 1 Sq.m for every additional 3m height Ǧ Ƭ  Building Category Low Rise High Rise NLV - Natural Light &amp; Ventilation  Ǧ  ȋ  Ȍ Building Height ȋȌ  Site Front</x:v>
      </x:c>
      <x:c r="G98" s="8" t="str">
        <x:v>candidate_unreviewed</x:v>
      </x:c>
      <x:c r="H98" s="21" t="b">
        <x:v>0</x:v>
      </x:c>
      <x:c r="I98" s="8" t="str">
        <x:v>Keyword extraction only. Read page image and full context before promoting. English search cannot exclude Sinhala/Tamil or image-only content.</x:v>
      </x:c>
    </x:row>
    <x:row r="99" ht="224" customHeight="1">
      <x:c r="A99" s="11" t="str">
        <x:v>C00098</x:v>
      </x:c>
      <x:c r="B99" s="11" t="str">
        <x:v>SRC_0013</x:v>
      </x:c>
      <x:c r="C99" s="11" t="str">
        <x:v>Ella Development Plan - English.pdf</x:v>
      </x:c>
      <x:c r="D99" s="22" t="n">
        <x:v>225</x:v>
      </x:c>
      <x:c r="E99" s="11" t="str">
        <x:v>plot coverage</x:v>
      </x:c>
      <x:c r="F99" s="11" t="str">
        <x:v>Plan 2021-2030 No Description  Ƥ  a. Dominant Use Tourism Services b.    1.25 c. Plot Coverage 65% d. Minimum Plot size 500 sqm e.  Height f.  i. No boundary walls shall be allowed covering entire premises other than hedges/ live fences &amp; retaining walls  ͤǤ͞ǣ   ii. Retaining walls, plantable walls, and terraced retaining structures shall be encouraged to conform to the natural terrain, where possible Figur No 8.2 : Retaining walls, plantable walls, and terraced retaining structures  /ŶƐƚĞĂĚŽĨƚŚŝƐ ŽƚŚŝƐ iii. Retaining structures shall be integrated well with the onsite architectural character and natural environment ͤǤ͝ǣ </x:v>
      </x:c>
      <x:c r="G99" s="11" t="str">
        <x:v>candidate_unreviewed</x:v>
      </x:c>
      <x:c r="H99" s="24" t="b">
        <x:v>0</x:v>
      </x:c>
      <x:c r="I99" s="11" t="str">
        <x:v>Keyword extraction only. Read page image and full context before promoting. English search cannot exclude Sinhala/Tamil or image-only content.</x:v>
      </x:c>
    </x:row>
    <x:row r="100" ht="224" customHeight="1">
      <x:c r="A100" s="8" t="str">
        <x:v>C00099</x:v>
      </x:c>
      <x:c r="B100" s="8" t="str">
        <x:v>SRC_0013</x:v>
      </x:c>
      <x:c r="C100" s="8" t="str">
        <x:v>Ella Development Plan - English.pdf</x:v>
      </x:c>
      <x:c r="D100" s="18" t="n">
        <x:v>229</x:v>
      </x:c>
      <x:c r="E100" s="8" t="str">
        <x:v>plot coverage</x:v>
      </x:c>
      <x:c r="F100" s="8" t="str">
        <x:v>210 Ella Development Plan 2021-2030 No Description  Ƥ  a. Plot Coverage 50% b. Minimum Plot size Ȃ͜͜͡ c.  Height Ȃ͜͝͞͡ d. Ȁ Retaining walls i. No boundary walls shall be allowed covering entire premises other than hedges/live fence &amp; Retaining walls ͤǤ͡ǣ    ii. Retaining walls, plantable walls, and terraced retaining structures shall be encouraged to conform to the natural terrain, where possible iii. Retaining structures shall be integrated well with the onsite architectural character and natural environment e. Additional Planning Recommendations i. Entire development shall be surrounded by natural plants w</x:v>
      </x:c>
      <x:c r="G100" s="8" t="str">
        <x:v>candidate_unreviewed</x:v>
      </x:c>
      <x:c r="H100" s="21" t="b">
        <x:v>0</x:v>
      </x:c>
      <x:c r="I100" s="8" t="str">
        <x:v>Keyword extraction only. Read page image and full context before promoting. English search cannot exclude Sinhala/Tamil or image-only content.</x:v>
      </x:c>
    </x:row>
    <x:row r="101" ht="210" customHeight="1">
      <x:c r="A101" s="11" t="str">
        <x:v>C00100</x:v>
      </x:c>
      <x:c r="B101" s="11" t="str">
        <x:v>SRC_0013</x:v>
      </x:c>
      <x:c r="C101" s="11" t="str">
        <x:v>Ella Development Plan - English.pdf</x:v>
      </x:c>
      <x:c r="D101" s="22" t="n">
        <x:v>231</x:v>
      </x:c>
      <x:c r="E101" s="11" t="str">
        <x:v>plot coverage</x:v>
      </x:c>
      <x:c r="F101" s="11" t="str">
        <x:v> a. Maximum Land area Shall allocate maximum 3000sqm area b. No. of Units allowed 6-10 c. Plot Coverage 40% d. Structures  e. Kitchen  f. Toilet facilities  g. Garbage/Waste Disposal  h. Storage  i. Additional Planning/ Design Recommendations - Camp site shall function through a camp owner - Only temporary structures shall allowed i. Tent Colour shall follow the recommended colour palette given below. ͤǤ͜͝ǣ     Hex RGB    ͜Ǥ͕Ǥ͗Ǥ͖   ͟͜͜͜ ͞Ǧ Ǥ </x:v>
      </x:c>
      <x:c r="G101" s="11" t="str">
        <x:v>candidate_unreviewed</x:v>
      </x:c>
      <x:c r="H101" s="24" t="b">
        <x:v>0</x:v>
      </x:c>
      <x:c r="I101" s="11" t="str">
        <x:v>Keyword extraction only. Read page image and full context before promoting. English search cannot exclude Sinhala/Tamil or image-only content.</x:v>
      </x:c>
    </x:row>
    <x:row r="102" ht="224" customHeight="1">
      <x:c r="A102" s="8" t="str">
        <x:v>C00101</x:v>
      </x:c>
      <x:c r="B102" s="8" t="str">
        <x:v>SRC_0013</x:v>
      </x:c>
      <x:c r="C102" s="8" t="str">
        <x:v>Ella Development Plan - English.pdf</x:v>
      </x:c>
      <x:c r="D102" s="18" t="n">
        <x:v>232</x:v>
      </x:c>
      <x:c r="E102" s="8" t="str">
        <x:v>plot coverage</x:v>
      </x:c>
      <x:c r="F102" s="8" t="str">
        <x:v>t Plan 2021-2030 No Description  Ƥ  a. Dominant Use Tourism Services b.    1 c. Plot Coverage 65% d. Minimum Plot size 500sqm e.  Height f. Ȁ Retaining Wall i. No boundary walls shall be allowed covering entire premises other than hedges/live fence &amp; Retaining walls ii. Retaining walls / fence layout and design shall conform to the natural terrain, where possible iii. Retaining structures shall be integrated well with the onsite architectural character and natural environment g. None h.   ZŽĂĚ Ϯŵ &gt;ĂŶĚƐĐĂƉĞ ĂƌĞĂ ͜Ǥ͖   ͜Ǥ͖Ǥ͕Ƥ  This zone covers the existing town area which has been rapidly developed during the past decade.Although, Ella is renowned</x:v>
      </x:c>
      <x:c r="G102" s="8" t="str">
        <x:v>candidate_unreviewed</x:v>
      </x:c>
      <x:c r="H102" s="21" t="b">
        <x:v>0</x:v>
      </x:c>
      <x:c r="I102" s="8" t="str">
        <x:v>Keyword extraction only. Read page image and full context before promoting. English search cannot exclude Sinhala/Tamil or image-only content.</x:v>
      </x:c>
    </x:row>
    <x:row r="103" ht="224" customHeight="1">
      <x:c r="A103" s="11" t="str">
        <x:v>C00102</x:v>
      </x:c>
      <x:c r="B103" s="11" t="str">
        <x:v>SRC_0013</x:v>
      </x:c>
      <x:c r="C103" s="11" t="str">
        <x:v>Ella Development Plan - English.pdf</x:v>
      </x:c>
      <x:c r="D103" s="22" t="n">
        <x:v>235</x:v>
      </x:c>
      <x:c r="E103" s="11" t="str">
        <x:v>plot coverage</x:v>
      </x:c>
      <x:c r="F103" s="11" t="str">
        <x:v>an 2021-2030 No Description  Ƥ  a. Dominant Use Tourism accommodation b.    1 c. Plot Coverage 50% d. Minimum Plot size 500sqm e.  Height f.  Ǥ  ǡ fencing, and chain link fencing with natural plantings &amp; Retaining walls ͤǤ͝͠ǣ ƪ  ii. Retaining walls / fence layout and design shall conform to the natural terrain, where possible iii. Retaining structures shall integrate well with the onsite architectural character and natural environment g. Nine Arch bridge surrounding area ͜Ǥ͗   ͜Ǥ͗Ǥ͕Ƥ  An area having the e</x:v>
      </x:c>
      <x:c r="G103" s="11" t="str">
        <x:v>candidate_unreviewed</x:v>
      </x:c>
      <x:c r="H103" s="24" t="b">
        <x:v>0</x:v>
      </x:c>
      <x:c r="I103" s="11" t="str">
        <x:v>Keyword extraction only. Read page image and full context before promoting. English search cannot exclude Sinhala/Tamil or image-only content.</x:v>
      </x:c>
    </x:row>
    <x:row r="104" ht="224" customHeight="1">
      <x:c r="A104" s="8" t="str">
        <x:v>C00103</x:v>
      </x:c>
      <x:c r="B104" s="8" t="str">
        <x:v>SRC_0013</x:v>
      </x:c>
      <x:c r="C104" s="8" t="str">
        <x:v>Ella Development Plan - English.pdf</x:v>
      </x:c>
      <x:c r="D104" s="18" t="n">
        <x:v>239</x:v>
      </x:c>
      <x:c r="E104" s="8" t="str">
        <x:v>plot coverage</x:v>
      </x:c>
      <x:c r="F104" s="8" t="str">
        <x:v>escription  Ƥ  a. Dominant Use Residential &amp; Tourism Accommodation b.    0.75 c. Plot Coverage 50% d. Minimum Plot size 500sqm e.  Height f.  i. No boundary walls shall be allowed covering entire premises, other than hedges, live fencing, and chain link fencing with natural planting&amp; Retaining walls ͤǤ͞͝ǣ ƪ  ii. Retaining walls / fence layout and design shall conform to the natural terrain, where possible iii. Retaining structures shall integrate well with the onsite architectural character and natural environment g. - ͜Ǥ͘   ͜Ǥ͘Ǥ͕Ƥ  The area having an extent of 207 ha including the Yahalawela and M</x:v>
      </x:c>
      <x:c r="G104" s="8" t="str">
        <x:v>candidate_unreviewed</x:v>
      </x:c>
      <x:c r="H104" s="21" t="b">
        <x:v>0</x:v>
      </x:c>
      <x:c r="I104" s="8" t="str">
        <x:v>Keyword extraction only. Read page image and full context before promoting. English search cannot exclude Sinhala/Tamil or image-only content.</x:v>
      </x:c>
    </x:row>
    <x:row r="105" ht="224" customHeight="1">
      <x:c r="A105" s="11" t="str">
        <x:v>C00104</x:v>
      </x:c>
      <x:c r="B105" s="11" t="str">
        <x:v>SRC_0013</x:v>
      </x:c>
      <x:c r="C105" s="11" t="str">
        <x:v>Ella Development Plan - English.pdf</x:v>
      </x:c>
      <x:c r="D105" s="22" t="n">
        <x:v>242</x:v>
      </x:c>
      <x:c r="E105" s="11" t="str">
        <x:v>plot coverage</x:v>
      </x:c>
      <x:c r="F105" s="11" t="str">
        <x:v>escription  Ƥ  a. Dominant Use Natural environment &amp; Accommodation b.    0.50 c. Plot Coverage 40% d. Minimum Plot size 500sqm e.  Height f.  i. No boundary walls are allowed covering entire premises, other than hedges, live fencing, and chain link fencing with natural planting&amp; Retaining walls ͤǤ͞͠ǣ ƪ  ii. Retaining walls / fence layout and design shall conform to the natural terrain, where possible iii. Retaining structures shall integrate well with the onsite architectural character and natural environment g. - ͜Ǥ͙   Ƭ   ͜Ǥ͙Ǥ͕Ƥ   Ȃ  ͞͝͠ </x:v>
      </x:c>
      <x:c r="G105" s="11" t="str">
        <x:v>candidate_unreviewed</x:v>
      </x:c>
      <x:c r="H105" s="24" t="b">
        <x:v>0</x:v>
      </x:c>
      <x:c r="I105" s="11" t="str">
        <x:v>Keyword extraction only. Read page image and full context before promoting. English search cannot exclude Sinhala/Tamil or image-only content.</x:v>
      </x:c>
    </x:row>
    <x:row r="106" ht="420" customHeight="1">
      <x:c r="A106" s="8" t="str">
        <x:v>C00105</x:v>
      </x:c>
      <x:c r="B106" s="8" t="str">
        <x:v>SRC_0013</x:v>
      </x:c>
      <x:c r="C106" s="8" t="str">
        <x:v>Ella Development Plan - English.pdf</x:v>
      </x:c>
      <x:c r="D106" s="18" t="n">
        <x:v>247</x:v>
      </x:c>
      <x:c r="E106" s="8" t="str">
        <x:v>plot coverage</x:v>
      </x:c>
      <x:c r="F106" s="8" t="str">
        <x:v>Plan 2021-2030 No Description  Ƥ  a. Dominant Use Natural Vegetation b.    - c. Plot Coverage - d. Minimum Plot size - e.  Height - f. - g. Forest camping site area Adventure camping site area Stargazing camping site area h. i. No permanent structures shall allow for the permitted activities ii. No expansions, alteration and changes in uses shall allow for the existing uses iii. No luminous colours shall allow for colour washing Ǥ  ƪ  area. v. Only single story, one-unit house is allowable in the event of occupant has only one land ȀǤƪ 200sqm within || ȀǤƪ 200sqm within maximum plot coverage of 30% vi. Clearance from Department of Archeology should be obtained for development around the Rawana Cave &amp; surrounding area. i. Additional Planning Recommendations j. Permissible uses No development allowed k.    ͜Ǥ͚   Ƭ   ͜Ǥ͚Ǥ͕Ƥ  Ƥȋǡ  ǡȌ ǦƤ  sensitivity. Currently, these areas are not declared by any state agencies th</x:v>
      </x:c>
      <x:c r="G106" s="8" t="str">
        <x:v>candidate_unreviewed</x:v>
      </x:c>
      <x:c r="H106" s="21" t="b">
        <x:v>0</x:v>
      </x:c>
      <x:c r="I106" s="8" t="str">
        <x:v>Keyword extraction only. Read page image and full context before promoting. English search cannot exclude Sinhala/Tamil or image-only content.</x:v>
      </x:c>
    </x:row>
    <x:row r="107" ht="224" customHeight="1">
      <x:c r="A107" s="11" t="str">
        <x:v>C00106</x:v>
      </x:c>
      <x:c r="B107" s="11" t="str">
        <x:v>SRC_0013</x:v>
      </x:c>
      <x:c r="C107" s="11" t="str">
        <x:v>Ella Development Plan - English.pdf</x:v>
      </x:c>
      <x:c r="D107" s="22" t="n">
        <x:v>248</x:v>
      </x:c>
      <x:c r="E107" s="11" t="str">
        <x:v>plot coverage</x:v>
      </x:c>
      <x:c r="F107" s="11" t="str">
        <x:v>Shall allocate maximum 4000sqm area b. No. of Units allowed 6-10 within the above area c. Maximum Plot Coverage 40% out of the maximum land area d. Structures  e. Kitchen  f. Toilet facilities  g. Garbage/Waste Disposal  h. Storage  i. Other i. Camp site shall function through a camp owner ii. Only Temporary and semi-permanent structures shall allowed iii. Tent Colour shall follow the recommended colour palette given below. ͤǤ͟͝ǣ   Colour Hex* RGB #85613d (133,97,61) #5e492f (94,73,47) #7a542e (122,84,46) #673d26 (103,61,38) #8b5436 (139,84,54) #e39a31 (227,154,49) #a5590e (165,89,14) #762b0a (118,43,10) #2</x:v>
      </x:c>
      <x:c r="G107" s="11" t="str">
        <x:v>candidate_unreviewed</x:v>
      </x:c>
      <x:c r="H107" s="24" t="b">
        <x:v>0</x:v>
      </x:c>
      <x:c r="I107" s="11" t="str">
        <x:v>Keyword extraction only. Read page image and full context before promoting. English search cannot exclude Sinhala/Tamil or image-only content.</x:v>
      </x:c>
    </x:row>
    <x:row r="108" ht="224" customHeight="1">
      <x:c r="A108" s="8" t="str">
        <x:v>C00107</x:v>
      </x:c>
      <x:c r="B108" s="8" t="str">
        <x:v>SRC_0013</x:v>
      </x:c>
      <x:c r="C108" s="8" t="str">
        <x:v>Ella Development Plan - English.pdf</x:v>
      </x:c>
      <x:c r="D108" s="18" t="n">
        <x:v>249</x:v>
      </x:c>
      <x:c r="E108" s="8" t="str">
        <x:v>plot coverage</x:v>
      </x:c>
      <x:c r="F108" s="8" t="str">
        <x:v>ed only for study purpose groups (Schools, Universities, Stargazing institutes &amp; organizations) c. Plot Coverage 40% out of the maximum land area d. Structures  e. Kitchen  f. Toilet facilities  g. Garbage/Waste Disposal  h. Storage  i. Other i. Camp sites shall function through a camp owner ii. Only mobile temporary huts shall allow excluding containers iii. Tent Colour shall follow the recommended colour palette given below. ͤǤ͟͟ǣ   Colour Hex* RGB Ǥ      ȋͤ͜ Ȍ   disturb the natural, cultural and social surrounding of the camp site</x:v>
      </x:c>
      <x:c r="G108" s="8" t="str">
        <x:v>candidate_unreviewed</x:v>
      </x:c>
      <x:c r="H108" s="21" t="b">
        <x:v>0</x:v>
      </x:c>
      <x:c r="I108" s="8" t="str">
        <x:v>Keyword extraction only. Read page image and full context before promoting. English search cannot exclude Sinhala/Tamil or image-only content.</x:v>
      </x:c>
    </x:row>
    <x:row r="109" ht="154" customHeight="1">
      <x:c r="A109" s="11" t="str">
        <x:v>C00108</x:v>
      </x:c>
      <x:c r="B109" s="11" t="str">
        <x:v>SRC_0013</x:v>
      </x:c>
      <x:c r="C109" s="11" t="str">
        <x:v>Ella Development Plan - English.pdf</x:v>
      </x:c>
      <x:c r="D109" s="22" t="n">
        <x:v>324</x:v>
      </x:c>
      <x:c r="E109" s="11" t="str">
        <x:v>plot coverage</x:v>
      </x:c>
      <x:c r="F109" s="11" t="str">
        <x:v> ͤȋȌ ͠ͥͤ͝͞ Ǣ “Plot Coverage” means the percentage of total plinth area of a building in relation to the total land area in the plot where building situated “Preliminary Planning Clearance” means a set of guidelines designed by the Authority to evaluate the criteria complied by the developer in respect of a development activity. “Proposed Road Widthǳ </x:v>
      </x:c>
      <x:c r="G109" s="11" t="str">
        <x:v>candidate_unreviewed</x:v>
      </x:c>
      <x:c r="H109" s="24" t="b">
        <x:v>0</x:v>
      </x:c>
      <x:c r="I109" s="11" t="str">
        <x:v>Keyword extraction only. Read page image and full context before promoting. English search cannot exclude Sinhala/Tamil or image-only content.</x:v>
      </x:c>
    </x:row>
    <x:row r="110" ht="420" customHeight="1">
      <x:c r="A110" s="8" t="str">
        <x:v>C00109</x:v>
      </x:c>
      <x:c r="B110" s="8" t="str">
        <x:v>SRC_0013</x:v>
      </x:c>
      <x:c r="C110" s="8" t="str">
        <x:v>Ella Development Plan - English.pdf</x:v>
      </x:c>
      <x:c r="D110" s="18" t="n">
        <x:v>325</x:v>
      </x:c>
      <x:c r="E110" s="8" t="str">
        <x:v>bathroom, bedroom</x:v>
      </x:c>
      <x:c r="F110" s="8" t="str">
        <x:v>eligious ceremony are performed. “Residential Unit” means a dwelling unit consisting of a, kitchen, bedroom, bathroom or toilet used or proposed to be used for a single family. “Retaining Wall” means a protective wall constructed to stabilize the slope or prevent deformation of the soil layer in a steep slope. “Room” means a portion of a building enclosed by walls or partitions. “Sewerage” ǦƫǢ “Street Line”Ƥǡ    “Structure of a Building” means includes the roof, column || ceremony are performed. “Residential Unit” means a dwelling unit consisting of a, kitchen, bedroom, bathroom or toilet used or proposed to be used for a single family. “Retaining Wall” means a protective wall constructed to stabilize the slope or prevent deformation of the soil layer in a steep slope. “Room” means a portion of a building enclosed by walls or partitions. “Sewerage” ǦƫǢ “Street Line”Ƥǡ    “Structure of a Building” means includes the roof, column or main p</x:v>
      </x:c>
      <x:c r="G110" s="8" t="str">
        <x:v>candidate_unreviewed</x:v>
      </x:c>
      <x:c r="H110" s="21" t="b">
        <x:v>0</x:v>
      </x:c>
      <x:c r="I110" s="8" t="str">
        <x:v>Keyword extraction only. Read page image and full context before promoting. English search cannot exclude Sinhala/Tamil or image-only content.</x:v>
      </x:c>
    </x:row>
    <x:row r="111" ht="182" customHeight="1">
      <x:c r="A111" s="11" t="str">
        <x:v>C00110</x:v>
      </x:c>
      <x:c r="B111" s="11" t="str">
        <x:v>SRC_0014</x:v>
      </x:c>
      <x:c r="C111" s="11" t="str">
        <x:v>Embilipitiya Development Plan - English.pdf</x:v>
      </x:c>
      <x:c r="D111" s="22" t="n">
        <x:v>18</x:v>
      </x:c>
      <x:c r="E111" s="11" t="str">
        <x:v>setbacks</x:v>
      </x:c>
      <x:c r="F111" s="11" t="str">
        <x:v>Form A – Floor Area Ratio 210 Form B - Number of Floors for 3m &amp; 4.5m wide Roads 211 Form E - Setbacks &amp; Open Spaces 211 Schedule 02 Schedule related to the Green Conservation Zone 236 Schedule 03 Industry Classification 244 Part III – Annextures 269 Annexture 01: Maps 270 Annexture 02: Tables 286 Annexture 03: Figures 297 Annexture 04: Graphs 299 Annexture 05: Flow Charts 302 Annexture 06: Stakeholder Meeting Analysis 306 Annexture 07: Zone Factor Calculation 309 Annexture 08: Zoning Boundaries 322 Annexture 09: Zoning Metrix 374 Abbreviation 378 References 379</x:v>
      </x:c>
      <x:c r="G111" s="11" t="str">
        <x:v>candidate_unreviewed</x:v>
      </x:c>
      <x:c r="H111" s="24" t="b">
        <x:v>0</x:v>
      </x:c>
      <x:c r="I111" s="11" t="str">
        <x:v>Keyword extraction only. Read page image and full context before promoting. English search cannot exclude Sinhala/Tamil or image-only content.</x:v>
      </x:c>
    </x:row>
    <x:row r="112" ht="644" customHeight="1">
      <x:c r="A112" s="8" t="str">
        <x:v>C00111</x:v>
      </x:c>
      <x:c r="B112" s="8" t="str">
        <x:v>SRC_0014</x:v>
      </x:c>
      <x:c r="C112" s="8" t="str">
        <x:v>Embilipitiya Development Plan - English.pdf</x:v>
      </x:c>
      <x:c r="D112" s="18" t="n">
        <x:v>232</x:v>
      </x:c>
      <x:c r="E112" s="8" t="str">
        <x:v>minimum width, plot coverage, setbacks</x:v>
      </x:c>
      <x:c r="F112" s="8" t="str">
        <x:v>cated including parking areas Number of units allowed for each road shall not be changed * Where no plot coverage specified under the zoning regulations Form E - Setbacks &amp; Open Spaces Form E - Setbacks &amp; Open Spaces Building Category Building Height (m) Minimum Site Frontage (m) Plot Coverage * Rear Space (m) Side Space (m) Light Well for NLV Non Residential Residential When no NLV is taking this end When NLV is taking this end When no NLV is taking this end When NLV is taking this end Minimum width Minimum Area Low Rise less than 7 6 80%** 65% 2.3m 2.3m - 2.3m 2.3m 5 Sq.m 7 less than 15 6 65% 65% 3.0m 3.0m - 3.0m 3.0m 9 Sq.m Inter Mediate Rise 15 less than 30 12 65% 65% 4.0m 4.0m 1.0m and 3.0m 4.0m 4.0m 16 Sq.m Middle Rise 30 less than 50 20 || road shall not be changed * Where no plot coverage specified under the zoning regulations Form E - Setbacks &amp; Open Spaces Form E - Setbacks &amp; Open Spaces Building Category Building Height (m) Minimum Site Frontage (m) Plot Coverage * Rear Space (m) Side Space (m) Light Well for NLV Non Residential Residential When no NLV is taking this end When NLV is taking this end When no NLV is taking this end When NLV is taking this end Minimum width Minimum Area Low Rise less than 7 6 80%** 65% 2.3m 2.3m - 2.3m 2.3m 5 Sq.m 7 less than 15 6 65% 65% 3.0m 3.0m - 3.0m 3.0m 9 Sq.m Inter Mediate Rise 15 less than 30 12 65% 65% 4.0m 4.0m 1.0m and 3.0m 4.0m 4.0m 16 Sq.m Middle Rise 30 less than 50 20 65% 65% 4.0m 5.0m 3.0m both side 5.0m 5.0m 25 Sq.m High R || re no plot coverage specified under the zoning regulations Form E - Setbacks &amp; Open Spaces Form E - Setbacks &amp; Open Spaces Building Category Building Height (m) Minimum Site Frontage (m) Plot Coverage * Rear Space (m) Side Space (m) Light Well for NLV Non Residential Residential When no NLV is taking this end When NLV is taking this end When no NLV is taking this end When NLV is taking this end Minimum width Minimum Area Low Rise less than 7 6 80%** 65% 2.3m 2.3m - 2.3m 2.3m 5 Sq.m 7 less than 15 6 65% 65% 3.0m 3.0m - 3.0m 3.0m 9 Sq.m Inter Mediate Rise 15 less than 30 12 65% 65% 4.0m 4.0m 1.0m and 3.0m 4.0m 4.0m 16 Sq.m Middle Rise 30 less than 50 20 65% 65% 4.0m 5.0m 3.0m both sid</x:v>
      </x:c>
      <x:c r="G112" s="8" t="str">
        <x:v>candidate_unreviewed</x:v>
      </x:c>
      <x:c r="H112" s="21" t="b">
        <x:v>0</x:v>
      </x:c>
      <x:c r="I112" s="8" t="str">
        <x:v>Keyword extraction only. Read page image and full context before promoting. English search cannot exclude Sinhala/Tamil or image-only content.</x:v>
      </x:c>
    </x:row>
    <x:row r="113" ht="238" customHeight="1">
      <x:c r="A113" s="11" t="str">
        <x:v>C00112</x:v>
      </x:c>
      <x:c r="B113" s="11" t="str">
        <x:v>SRC_0014</x:v>
      </x:c>
      <x:c r="C113" s="11" t="str">
        <x:v>Embilipitiya Development Plan - English.pdf</x:v>
      </x:c>
      <x:c r="D113" s="22" t="n">
        <x:v>234</x:v>
      </x:c>
      <x:c r="E113" s="11" t="str">
        <x:v>plot coverage</x:v>
      </x:c>
      <x:c r="F113" s="11" t="str">
        <x:v>E should be used to determine the floor area, number of floors, the open area around buildings and plot coverage. 7.4.4. The boundaries shown on the zoning plan are often based on existing highways, byroads, railways, and waterways, and in the absence of such boundaries the zoning boundaries of the development plan should be based on the X and Y coordinates indicated by the degree of Google Earth. 7.4.5. When a place or property is designated for only a specific purpose by the zoning plan, that place or property should be used only for that designated use. 7.4.6. When a place or property is not designated for any particular use, its existing use under the zoning plan shall not be an impediment to the permitted use of the zone in which it is l</x:v>
      </x:c>
      <x:c r="G113" s="11" t="str">
        <x:v>candidate_unreviewed</x:v>
      </x:c>
      <x:c r="H113" s="24" t="b">
        <x:v>0</x:v>
      </x:c>
      <x:c r="I113" s="11" t="str">
        <x:v>Keyword extraction only. Read page image and full context before promoting. English search cannot exclude Sinhala/Tamil or image-only content.</x:v>
      </x:c>
    </x:row>
    <x:row r="114" ht="238" customHeight="1">
      <x:c r="A114" s="8" t="str">
        <x:v>C00113</x:v>
      </x:c>
      <x:c r="B114" s="8" t="str">
        <x:v>SRC_0014</x:v>
      </x:c>
      <x:c r="C114" s="8" t="str">
        <x:v>Embilipitiya Development Plan - English.pdf</x:v>
      </x:c>
      <x:c r="D114" s="18" t="n">
        <x:v>240</x:v>
      </x:c>
      <x:c r="E114" s="8" t="str">
        <x:v>plot coverage</x:v>
      </x:c>
      <x:c r="F114" s="8" t="str">
        <x:v>eight of the earth is 30meters Minimum Plot Size 150 sq.m. (06 perch) Zoning conditions Permissible plot coverage of 65% should be maintained for all commercial and non-commercial uses in this zone. Table 8.5 : The Requirements for Administrative Zone Table 8.6 : Permissible uses for Administrative Zone I No. Permissible uses The Minimum Land Extent (sq.m.) (a) Institutional i. Administrative Complex 1000 (40 perch) ii. Government Semi – Government and Private Institutions 500 (20 perch) iii. Banks and financial Institutions, Insurance Companies, Trade Institutions, Professionals’ offices 150 (06 perch) (b)Health i. Medical Consulting Centers 500 (20 perch) ii. Medical Centers 250 (10 perch) iii. Pharmacy, laboratory Service Centers 150 (06 perch)</x:v>
      </x:c>
      <x:c r="G114" s="8" t="str">
        <x:v>candidate_unreviewed</x:v>
      </x:c>
      <x:c r="H114" s="21" t="b">
        <x:v>0</x:v>
      </x:c>
      <x:c r="I114" s="8" t="str">
        <x:v>Keyword extraction only. Read page image and full context before promoting. English search cannot exclude Sinhala/Tamil or image-only content.</x:v>
      </x:c>
    </x:row>
    <x:row r="115" ht="238" customHeight="1">
      <x:c r="A115" s="11" t="str">
        <x:v>C00114</x:v>
      </x:c>
      <x:c r="B115" s="11" t="str">
        <x:v>SRC_0014</x:v>
      </x:c>
      <x:c r="C115" s="11" t="str">
        <x:v>Embilipitiya Development Plan - English.pdf</x:v>
      </x:c>
      <x:c r="D115" s="22" t="n">
        <x:v>242</x:v>
      </x:c>
      <x:c r="E115" s="11" t="str">
        <x:v>plot coverage</x:v>
      </x:c>
      <x:c r="F115" s="11" t="str">
        <x:v>of the earth is 21 meters Minimum Plot Size 250 sq.m. (10 perch) Zoning conditions I. Permissible plot coverage of 65% should be maintained for all commercial and non-commercial uses in this zone. Table 8.7 : The Requirements for Tourism Service Zone Table 8.8 : Permissible Uses for Tourism Service Zone No. Permissible uses The Minimum Land Extent (sq.m.) (a) Tourism i Tourist Hotels, Tourist Camping Sites, Holiday Resorts, Reception Halls, 1000 (40 perch) ii Hotels, Lodges, Inn 500 (20 perch) iii Restaurants 250 (10 perch) iv Swimming Pools 500 (20 perch) v Tourist Information Centers, Homestay 250 (10 perch) vi Small Scale Zoo 500 (20 perch) (b)Commercial i Shops 250 (10 perch) ii Supermarkets, Commercial Complexes, Showrooms 500 (20 perch) Cha</x:v>
      </x:c>
      <x:c r="G115" s="11" t="str">
        <x:v>candidate_unreviewed</x:v>
      </x:c>
      <x:c r="H115" s="24" t="b">
        <x:v>0</x:v>
      </x:c>
      <x:c r="I115" s="11" t="str">
        <x:v>Keyword extraction only. Read page image and full context before promoting. English search cannot exclude Sinhala/Tamil or image-only content.</x:v>
      </x:c>
    </x:row>
    <x:row r="116" ht="140" customHeight="1">
      <x:c r="A116" s="8" t="str">
        <x:v>C00115</x:v>
      </x:c>
      <x:c r="B116" s="8" t="str">
        <x:v>SRC_0014</x:v>
      </x:c>
      <x:c r="C116" s="8" t="str">
        <x:v>Embilipitiya Development Plan - English.pdf</x:v>
      </x:c>
      <x:c r="D116" s="18" t="n">
        <x:v>244</x:v>
      </x:c>
      <x:c r="E116" s="8" t="str">
        <x:v>plot coverage</x:v>
      </x:c>
      <x:c r="F116" s="8" t="str">
        <x:v>ight of the earth is 21 meters Minimum Plot Size 300 (12 perch ) Zoning conditions I. Permissible plot coverage of 65% should be maintained for all commercial and non-commercial uses in this zone. Table 8.9 : The Requirements for Agro-service zone Chapter 08 Zoning Guidelines Tourism Service Zone Guidelines and Permissible Uses for Tourism Service Zone Agro-service Zone Guidelines and Permissible Uses for Agro-service Zone</x:v>
      </x:c>
      <x:c r="G116" s="8" t="str">
        <x:v>candidate_unreviewed</x:v>
      </x:c>
      <x:c r="H116" s="21" t="b">
        <x:v>0</x:v>
      </x:c>
      <x:c r="I116" s="8" t="str">
        <x:v>Keyword extraction only. Read page image and full context before promoting. English search cannot exclude Sinhala/Tamil or image-only content.</x:v>
      </x:c>
    </x:row>
    <x:row r="117" ht="154" customHeight="1">
      <x:c r="A117" s="11" t="str">
        <x:v>C00116</x:v>
      </x:c>
      <x:c r="B117" s="11" t="str">
        <x:v>SRC_0014</x:v>
      </x:c>
      <x:c r="C117" s="11" t="str">
        <x:v>Embilipitiya Development Plan - English.pdf</x:v>
      </x:c>
      <x:c r="D117" s="22" t="n">
        <x:v>247</x:v>
      </x:c>
      <x:c r="E117" s="11" t="str">
        <x:v>plot coverage</x:v>
      </x:c>
      <x:c r="F117" s="11" t="str">
        <x:v>of the earth is 15 meters Minimum Plot Size 2000 sq.m.(80 perch) Zoning conditions I. Permissible plot coverage of 65% should be maintained for all uses in this zone. II. The applicable guidelines, requirements and uses for this industrial zone are in accordance with Industrial Zone Guide Plan in 8.10 Table 8.11 : The Requirements for Industrial Zone Chapter 08 Zoning Guidelines Industrial Zone Guidelines and Permissible Uses for Industrial Zone</x:v>
      </x:c>
      <x:c r="G117" s="11" t="str">
        <x:v>candidate_unreviewed</x:v>
      </x:c>
      <x:c r="H117" s="24" t="b">
        <x:v>0</x:v>
      </x:c>
      <x:c r="I117" s="11" t="str">
        <x:v>Keyword extraction only. Read page image and full context before promoting. English search cannot exclude Sinhala/Tamil or image-only content.</x:v>
      </x:c>
    </x:row>
    <x:row r="118" ht="238" customHeight="1">
      <x:c r="A118" s="8" t="str">
        <x:v>C00117</x:v>
      </x:c>
      <x:c r="B118" s="8" t="str">
        <x:v>SRC_0014</x:v>
      </x:c>
      <x:c r="C118" s="8" t="str">
        <x:v>Embilipitiya Development Plan - English.pdf</x:v>
      </x:c>
      <x:c r="D118" s="18" t="n">
        <x:v>248</x:v>
      </x:c>
      <x:c r="E118" s="8" t="str">
        <x:v>plot coverage</x:v>
      </x:c>
      <x:c r="F118" s="8" t="str">
        <x:v>ight of the earth is 15 meters Minimum Plot Size 250 sq.m. (10 perch) Zoning conditions Permissible plot coverage of 70 % should be maintained for Com-mercial uses and 65 % should be maintained for noncommercial uses in this zone. Table 8.12 : The Requirements for Mixed Residential Zone I Table 8.13 : Permissible uses for Mixed Residential Zone I No. Permissible uses The Minimum Land Extent (sq.m.) (a) Residential i. Residential Buildings 250 (10 perch) ii. Flats 1000 (40 perch) iii. Housing Projects 2000 (80 perch) (b) Commercial i Shops 250 (10 perch) ii Banks and financial Institutions, Insurance Companies, 250 (10 perch) iii Filling Stations 1000 (40 perch) iv Vehicle Charging Stations 500 (20 perch) v. Bakery 250 (10 perch) vi. Resturant 250 (</x:v>
      </x:c>
      <x:c r="G118" s="8" t="str">
        <x:v>candidate_unreviewed</x:v>
      </x:c>
      <x:c r="H118" s="21" t="b">
        <x:v>0</x:v>
      </x:c>
      <x:c r="I118" s="8" t="str">
        <x:v>Keyword extraction only. Read page image and full context before promoting. English search cannot exclude Sinhala/Tamil or image-only content.</x:v>
      </x:c>
    </x:row>
    <x:row r="119" ht="154" customHeight="1">
      <x:c r="A119" s="11" t="str">
        <x:v>C00118</x:v>
      </x:c>
      <x:c r="B119" s="11" t="str">
        <x:v>SRC_0014</x:v>
      </x:c>
      <x:c r="C119" s="11" t="str">
        <x:v>Embilipitiya Development Plan - English.pdf</x:v>
      </x:c>
      <x:c r="D119" s="22" t="n">
        <x:v>250</x:v>
      </x:c>
      <x:c r="E119" s="11" t="str">
        <x:v>plot coverage</x:v>
      </x:c>
      <x:c r="F119" s="11" t="str">
        <x:v>of the earth is 12 meters Minimum Plot Size 300 sq.m. (12 perch) Zoning conditions I. Permissible plot coverage of 70 % should be maintained for Com-mercial uses and 65 % should be maintained for noncommercial uses in this zone. Table 8.14 : The Requirements for Mixed Residential Zone II Chapter 08 Zoning Guidelines Mixed Residential Zone I Guidelines and Permissible Uses for Mixed Residential Zone I Mixed Residential Zone II Guidelines and Permissible Uses for Mixed Residential Zone II</x:v>
      </x:c>
      <x:c r="G119" s="11" t="str">
        <x:v>candidate_unreviewed</x:v>
      </x:c>
      <x:c r="H119" s="24" t="b">
        <x:v>0</x:v>
      </x:c>
      <x:c r="I119" s="11" t="str">
        <x:v>Keyword extraction only. Read page image and full context before promoting. English search cannot exclude Sinhala/Tamil or image-only content.</x:v>
      </x:c>
    </x:row>
    <x:row r="120" ht="196" customHeight="1">
      <x:c r="A120" s="8" t="str">
        <x:v>C00119</x:v>
      </x:c>
      <x:c r="B120" s="8" t="str">
        <x:v>SRC_0014</x:v>
      </x:c>
      <x:c r="C120" s="8" t="str">
        <x:v>Embilipitiya Development Plan - English.pdf</x:v>
      </x:c>
      <x:c r="D120" s="18" t="n">
        <x:v>252</x:v>
      </x:c>
      <x:c r="E120" s="8" t="str">
        <x:v>plot coverage</x:v>
      </x:c>
      <x:c r="F120" s="8" t="str">
        <x:v>ht of the earth is 10meters Minimum Plot Size 500sq.m. (20 Perch) Zoning conditions I. Permissible plot coverage of 50% should be maintained for all uses in this zone. II. All construction in this area should be done subject to the Preliminary Planning Clearance of the Urban Development Authority III. The guidelines and conditions set out in 8.9.2 apply to all uses in this zone. Table 8.16 : The Requirements for Green Conservation Zone Chapter 08 Zoning Guidelines Mixed Residential Zone II Guidelines and Permissible Uses for Mixed Residential Zone II Green Conservation Zone Guidelines and Permissible Uses for Green Conservation Zone</x:v>
      </x:c>
      <x:c r="G120" s="8" t="str">
        <x:v>candidate_unreviewed</x:v>
      </x:c>
      <x:c r="H120" s="21" t="b">
        <x:v>0</x:v>
      </x:c>
      <x:c r="I120" s="8" t="str">
        <x:v>Keyword extraction only. Read page image and full context before promoting. English search cannot exclude Sinhala/Tamil or image-only content.</x:v>
      </x:c>
    </x:row>
    <x:row r="121" ht="238" customHeight="1">
      <x:c r="A121" s="11" t="str">
        <x:v>C00120</x:v>
      </x:c>
      <x:c r="B121" s="11" t="str">
        <x:v>SRC_0014</x:v>
      </x:c>
      <x:c r="C121" s="11" t="str">
        <x:v>Embilipitiya Development Plan - English.pdf</x:v>
      </x:c>
      <x:c r="D121" s="22" t="n">
        <x:v>253</x:v>
      </x:c>
      <x:c r="E121" s="11" t="str">
        <x:v>schedule 7</x:v>
      </x:c>
      <x:c r="F121" s="11" t="str">
        <x:v>ng uses will be permitted subject to the recommendations of the relevant institutions mentioned in Schedule 7.4.3 for the other reservation area and the 40 meter reserve limit of Walawe River. • Wetland Nature Parks • Eco-friendly Restaurants -100 sqm (Built on wooden pillars) - Minimum land area 1000 sqm • Small Scale Conference Centers - (Built on wooden pillers) - 140 sqm, Seating Capacity 75, Minimum Land Size 1000 sqm. • Outdoor Fitness Areas / Fitness Facilities - Minimum Land Size 1000sqm • Cabana - (built on wooden pillars) - Minimum land area is 1000sqm • Traditional fishing industry • Water associated transport • Government approved public infrastructure projects of national importance • Construction of new irrigations / cons</x:v>
      </x:c>
      <x:c r="G121" s="11" t="str">
        <x:v>candidate_unreviewed</x:v>
      </x:c>
      <x:c r="H121" s="24" t="b">
        <x:v>0</x:v>
      </x:c>
      <x:c r="I121" s="11" t="str">
        <x:v>Keyword extraction only. Read page image and full context before promoting. English search cannot exclude Sinhala/Tamil or image-only content.</x:v>
      </x:c>
    </x:row>
    <x:row r="122" ht="238" customHeight="1">
      <x:c r="A122" s="8" t="str">
        <x:v>C00121</x:v>
      </x:c>
      <x:c r="B122" s="8" t="str">
        <x:v>SRC_0014</x:v>
      </x:c>
      <x:c r="C122" s="8" t="str">
        <x:v>Embilipitiya Development Plan - English.pdf</x:v>
      </x:c>
      <x:c r="D122" s="18" t="n">
        <x:v>260</x:v>
      </x:c>
      <x:c r="E122" s="8" t="str">
        <x:v>schedule 9</x:v>
      </x:c>
      <x:c r="F122" s="8" t="str">
        <x:v>ium scale and small scale agriculture and other manufacturing industries (industries mentioned in Schedule 9.3) 2. Subsidiary uses for each industry (warehouses -raw materials and products), restaurants, medical treatment centers, official quarters, hostels, staff quarters, car parks, greenhouses, playgrounds and recycling centers Recommended maximum height (m) From ground level 15 m Zone boundaries Google Earth's Decimal Degree X and Y for latitude and longitude coordinates (GPS-WGS) have been listed in Appendix 08 of 1984 for the boundaries of this region Guidelines Main Road Development • Existing Paper Mill Road from Kadurugasara Junction to Kumbugodaara Junction should be widened and developed with 2 lanes.. • The old Karawilayaya r</x:v>
      </x:c>
      <x:c r="G122" s="8" t="str">
        <x:v>candidate_unreviewed</x:v>
      </x:c>
      <x:c r="H122" s="21" t="b">
        <x:v>0</x:v>
      </x:c>
      <x:c r="I122" s="8" t="str">
        <x:v>Keyword extraction only. Read page image and full context before promoting. English search cannot exclude Sinhala/Tamil or image-only content.</x:v>
      </x:c>
    </x:row>
    <x:row r="123" ht="210" customHeight="1">
      <x:c r="A123" s="11" t="str">
        <x:v>C00122</x:v>
      </x:c>
      <x:c r="B123" s="11" t="str">
        <x:v>SRC_0015</x:v>
      </x:c>
      <x:c r="C123" s="11" t="str">
        <x:v>English.pdf</x:v>
      </x:c>
      <x:c r="D123" s="22" t="n">
        <x:v>135</x:v>
      </x:c>
      <x:c r="E123" s="11" t="str">
        <x:v>bathroom</x:v>
      </x:c>
      <x:c r="F123" s="11" t="str">
        <x:v>Water Required Quantity Electricity Power Required Quantity Drinking Purpose For the bathrooms For restaurants For cultivation Availabil ity Level of consumption Solid waste Management system Yes No If it is No give suitable SWM proposal  Zone City center commercial zone Zoning compatibility Yes  No Project Budget Estimate Activity Expenditure (Rs millions) Construction of Circular Road Approval agencies Activity Relevant authority Responsible Institutes • Road development Authority • Urban Development Authority • Divisional Secretariat - Hambantota • Department of Survey • Department of Valuation • Road development Authority • Department of Valuati</x:v>
      </x:c>
      <x:c r="G123" s="11" t="str">
        <x:v>candidate_unreviewed</x:v>
      </x:c>
      <x:c r="H123" s="24" t="b">
        <x:v>0</x:v>
      </x:c>
      <x:c r="I123" s="11" t="str">
        <x:v>Keyword extraction only. Read page image and full context before promoting. English search cannot exclude Sinhala/Tamil or image-only content.</x:v>
      </x:c>
    </x:row>
    <x:row r="124" ht="112" customHeight="1">
      <x:c r="A124" s="8" t="str">
        <x:v>C00123</x:v>
      </x:c>
      <x:c r="B124" s="8" t="str">
        <x:v>SRC_0015</x:v>
      </x:c>
      <x:c r="C124" s="8" t="str">
        <x:v>English.pdf</x:v>
      </x:c>
      <x:c r="D124" s="18" t="n">
        <x:v>138</x:v>
      </x:c>
      <x:c r="E124" s="8" t="str">
        <x:v>bathroom</x:v>
      </x:c>
      <x:c r="F124" s="8" t="str">
        <x:v>Water Required Quantity Electricity Power Required Quantity Drinking Purpose For the bathrooms For restaurants For cultivation Availabil ity Level of consumption Solid waste Management system Yes No If it is No give suitable SWM proposal  Zone City center commercial zone Zoning compatibility Yes  No</x:v>
      </x:c>
      <x:c r="G124" s="8" t="str">
        <x:v>candidate_unreviewed</x:v>
      </x:c>
      <x:c r="H124" s="21" t="b">
        <x:v>0</x:v>
      </x:c>
      <x:c r="I124" s="8" t="str">
        <x:v>Keyword extraction only. Read page image and full context before promoting. English search cannot exclude Sinhala/Tamil or image-only content.</x:v>
      </x:c>
    </x:row>
    <x:row r="125" ht="112" customHeight="1">
      <x:c r="A125" s="11" t="str">
        <x:v>C00124</x:v>
      </x:c>
      <x:c r="B125" s="11" t="str">
        <x:v>SRC_0015</x:v>
      </x:c>
      <x:c r="C125" s="11" t="str">
        <x:v>English.pdf</x:v>
      </x:c>
      <x:c r="D125" s="22" t="n">
        <x:v>142</x:v>
      </x:c>
      <x:c r="E125" s="11" t="str">
        <x:v>bathroom</x:v>
      </x:c>
      <x:c r="F125" s="11" t="str">
        <x:v>Water Required Quantity Electricity Power Required Quantity Drinking Purpose For the bathrooms For restaurants For cultivation Availabil ity Level of consumption Solid waste Management system Yes No If it is No give suitable SWM proposal  Zone City center commercial zone Zoning compatibility Yes  No</x:v>
      </x:c>
      <x:c r="G125" s="11" t="str">
        <x:v>candidate_unreviewed</x:v>
      </x:c>
      <x:c r="H125" s="24" t="b">
        <x:v>0</x:v>
      </x:c>
      <x:c r="I125" s="11" t="str">
        <x:v>Keyword extraction only. Read page image and full context before promoting. English search cannot exclude Sinhala/Tamil or image-only content.</x:v>
      </x:c>
    </x:row>
    <x:row r="126" ht="210" customHeight="1">
      <x:c r="A126" s="8" t="str">
        <x:v>C00125</x:v>
      </x:c>
      <x:c r="B126" s="8" t="str">
        <x:v>SRC_0015</x:v>
      </x:c>
      <x:c r="C126" s="8" t="str">
        <x:v>English.pdf</x:v>
      </x:c>
      <x:c r="D126" s="18" t="n">
        <x:v>146</x:v>
      </x:c>
      <x:c r="E126" s="8" t="str">
        <x:v>bathroom</x:v>
      </x:c>
      <x:c r="F126" s="8" t="str">
        <x:v>Water Required Quantity Electricity Power Required Quantity Drinking Purpose For the bathrooms For restaurants For cultivation Availabil ity Level of consumption Solid waste Management system Yes No If it is No give suitable SWM proposal  Zone City center commercial zone Zoning compatibility Yes  No Project Budget Estimate Activity Expenditure (Rs millions) Development of existing roads Approval agencies Activity Relevant authority Responsible Institutes • Road development Authority • Urban Development Authority • Divisional Secretariat - Hambantota • Department of Survey • Department of Valuation • Road development Authority • Divisional Secretaria</x:v>
      </x:c>
      <x:c r="G126" s="8" t="str">
        <x:v>candidate_unreviewed</x:v>
      </x:c>
      <x:c r="H126" s="21" t="b">
        <x:v>0</x:v>
      </x:c>
      <x:c r="I126" s="8" t="str">
        <x:v>Keyword extraction only. Read page image and full context before promoting. English search cannot exclude Sinhala/Tamil or image-only content.</x:v>
      </x:c>
    </x:row>
    <x:row r="127" ht="112" customHeight="1">
      <x:c r="A127" s="11" t="str">
        <x:v>C00126</x:v>
      </x:c>
      <x:c r="B127" s="11" t="str">
        <x:v>SRC_0015</x:v>
      </x:c>
      <x:c r="C127" s="11" t="str">
        <x:v>English.pdf</x:v>
      </x:c>
      <x:c r="D127" s="22" t="n">
        <x:v>149</x:v>
      </x:c>
      <x:c r="E127" s="11" t="str">
        <x:v>bathroom</x:v>
      </x:c>
      <x:c r="F127" s="11" t="str">
        <x:v>Water Required Quantity Electricity Power Required Quantity Drinking Purpose For the bathrooms For restaurants For cultivation Availabil ity Level of consumption Solid waste Management system Yes No If it is No give suitable SWM proposal  Zone City center commercial zone Wild Elephant Management Zone Zoning compatibility Yes  No</x:v>
      </x:c>
      <x:c r="G127" s="11" t="str">
        <x:v>candidate_unreviewed</x:v>
      </x:c>
      <x:c r="H127" s="24" t="b">
        <x:v>0</x:v>
      </x:c>
      <x:c r="I127" s="11" t="str">
        <x:v>Keyword extraction only. Read page image and full context before promoting. English search cannot exclude Sinhala/Tamil or image-only content.</x:v>
      </x:c>
    </x:row>
    <x:row r="128" ht="112" customHeight="1">
      <x:c r="A128" s="8" t="str">
        <x:v>C00127</x:v>
      </x:c>
      <x:c r="B128" s="8" t="str">
        <x:v>SRC_0015</x:v>
      </x:c>
      <x:c r="C128" s="8" t="str">
        <x:v>English.pdf</x:v>
      </x:c>
      <x:c r="D128" s="18" t="n">
        <x:v>153</x:v>
      </x:c>
      <x:c r="E128" s="8" t="str">
        <x:v>bathroom</x:v>
      </x:c>
      <x:c r="F128" s="8" t="str">
        <x:v>Water Required Quantity Electricity Power Required Quantity Drinking Purpose For the bathrooms For restaurants For cultivation Availabil ity Level of consumption Solid waste Management system Yes No If it is No give suitable SWM proposal  Zone City center commercial zone Zoning compatibility Yes  No</x:v>
      </x:c>
      <x:c r="G128" s="8" t="str">
        <x:v>candidate_unreviewed</x:v>
      </x:c>
      <x:c r="H128" s="21" t="b">
        <x:v>0</x:v>
      </x:c>
      <x:c r="I128" s="8" t="str">
        <x:v>Keyword extraction only. Read page image and full context before promoting. English search cannot exclude Sinhala/Tamil or image-only content.</x:v>
      </x:c>
    </x:row>
    <x:row r="129" ht="112" customHeight="1">
      <x:c r="A129" s="11" t="str">
        <x:v>C00128</x:v>
      </x:c>
      <x:c r="B129" s="11" t="str">
        <x:v>SRC_0015</x:v>
      </x:c>
      <x:c r="C129" s="11" t="str">
        <x:v>English.pdf</x:v>
      </x:c>
      <x:c r="D129" s="22" t="n">
        <x:v>158</x:v>
      </x:c>
      <x:c r="E129" s="11" t="str">
        <x:v>bathroom</x:v>
      </x:c>
      <x:c r="F129" s="11" t="str">
        <x:v>Water Required Quantity Electricity Power Required Quantity Drinking Purpose For the bathrooms For restaurants For cultivation Availabil ity Level of consumption Solid waste Management system Yes No If it is No give suitable SWM proposal  Zone City center commercial zone Elephant Management Zone Zoning compatibility Yes  No \</x:v>
      </x:c>
      <x:c r="G129" s="11" t="str">
        <x:v>candidate_unreviewed</x:v>
      </x:c>
      <x:c r="H129" s="24" t="b">
        <x:v>0</x:v>
      </x:c>
      <x:c r="I129" s="11" t="str">
        <x:v>Keyword extraction only. Read page image and full context before promoting. English search cannot exclude Sinhala/Tamil or image-only content.</x:v>
      </x:c>
    </x:row>
    <x:row r="130" ht="112" customHeight="1">
      <x:c r="A130" s="8" t="str">
        <x:v>C00129</x:v>
      </x:c>
      <x:c r="B130" s="8" t="str">
        <x:v>SRC_0015</x:v>
      </x:c>
      <x:c r="C130" s="8" t="str">
        <x:v>English.pdf</x:v>
      </x:c>
      <x:c r="D130" s="18" t="n">
        <x:v>162</x:v>
      </x:c>
      <x:c r="E130" s="8" t="str">
        <x:v>bathroom</x:v>
      </x:c>
      <x:c r="F130" s="8" t="str">
        <x:v>Water Required Quantity Electricity Power Required Quantity Drinking Purpose For the bathrooms For restaurants For cultivation Availabil ity Level of consumption Solid waste Management system Yes No If it is No give suitable SWM proposal  Zone City center commercial zone Wild Elephant Management Zone Zoning compatibility Yes  No</x:v>
      </x:c>
      <x:c r="G130" s="8" t="str">
        <x:v>candidate_unreviewed</x:v>
      </x:c>
      <x:c r="H130" s="21" t="b">
        <x:v>0</x:v>
      </x:c>
      <x:c r="I130" s="8" t="str">
        <x:v>Keyword extraction only. Read page image and full context before promoting. English search cannot exclude Sinhala/Tamil or image-only content.</x:v>
      </x:c>
    </x:row>
    <x:row r="131" ht="112" customHeight="1">
      <x:c r="A131" s="11" t="str">
        <x:v>C00130</x:v>
      </x:c>
      <x:c r="B131" s="11" t="str">
        <x:v>SRC_0015</x:v>
      </x:c>
      <x:c r="C131" s="11" t="str">
        <x:v>English.pdf</x:v>
      </x:c>
      <x:c r="D131" s="22" t="n">
        <x:v>166</x:v>
      </x:c>
      <x:c r="E131" s="11" t="str">
        <x:v>bathroom</x:v>
      </x:c>
      <x:c r="F131" s="11" t="str">
        <x:v>Water Required Quantity Electricity Power Required Quantity Drinking Purpose For the bathrooms For restaurants For cultivation Availabil ity Level of consumption Solid waste Management system Yes No If it is No give suitable SWM proposal  Zone Wild Elephant Mnagment Zone Zoning compatibility Yes  No</x:v>
      </x:c>
      <x:c r="G131" s="11" t="str">
        <x:v>candidate_unreviewed</x:v>
      </x:c>
      <x:c r="H131" s="24" t="b">
        <x:v>0</x:v>
      </x:c>
      <x:c r="I131" s="11" t="str">
        <x:v>Keyword extraction only. Read page image and full context before promoting. English search cannot exclude Sinhala/Tamil or image-only content.</x:v>
      </x:c>
    </x:row>
    <x:row r="132" ht="210" customHeight="1">
      <x:c r="A132" s="8" t="str">
        <x:v>C00131</x:v>
      </x:c>
      <x:c r="B132" s="8" t="str">
        <x:v>SRC_0015</x:v>
      </x:c>
      <x:c r="C132" s="8" t="str">
        <x:v>English.pdf</x:v>
      </x:c>
      <x:c r="D132" s="18" t="n">
        <x:v>171</x:v>
      </x:c>
      <x:c r="E132" s="8" t="str">
        <x:v>bathroom</x:v>
      </x:c>
      <x:c r="F132" s="8" t="str">
        <x:v>Water Required Quantity Electricity Power Required Quantity Drinking Purpose For the bathrooms For restaurants For cultivation Availabil ity Level of consumption Solid waste Management system Yes No If it is No give suitable SWM proposal  Zone City center commercial zone Zoning compatibility Yes  No Project Budget Estimate Activity Expenditure (Rs millions) Approval agencies Activity Relevant authority Responsible Institutes • Road development Authority • Urban Development Authority • Divisional Secretariat - Hambantota • Department of Survey • Mahaweli Authority of Sri Lanka • Road development Authority • Urban Development Authority • Divisional</x:v>
      </x:c>
      <x:c r="G132" s="8" t="str">
        <x:v>candidate_unreviewed</x:v>
      </x:c>
      <x:c r="H132" s="21" t="b">
        <x:v>0</x:v>
      </x:c>
      <x:c r="I132" s="8" t="str">
        <x:v>Keyword extraction only. Read page image and full context before promoting. English search cannot exclude Sinhala/Tamil or image-only content.</x:v>
      </x:c>
    </x:row>
    <x:row r="133" ht="112" customHeight="1">
      <x:c r="A133" s="11" t="str">
        <x:v>C00132</x:v>
      </x:c>
      <x:c r="B133" s="11" t="str">
        <x:v>SRC_0015</x:v>
      </x:c>
      <x:c r="C133" s="11" t="str">
        <x:v>English.pdf</x:v>
      </x:c>
      <x:c r="D133" s="22" t="n">
        <x:v>174</x:v>
      </x:c>
      <x:c r="E133" s="11" t="str">
        <x:v>bathroom</x:v>
      </x:c>
      <x:c r="F133" s="11" t="str">
        <x:v>Water Required Quantity Electricity Power Required Quantity Drinking Purpose For the bathrooms For restaurants For cultivation Availabil ity Level of consumption Solid waste Management system Yes No If it is No give suitable SWM proposal  Zone City center commercial zone Zoning compatibility Yes  No</x:v>
      </x:c>
      <x:c r="G133" s="11" t="str">
        <x:v>candidate_unreviewed</x:v>
      </x:c>
      <x:c r="H133" s="24" t="b">
        <x:v>0</x:v>
      </x:c>
      <x:c r="I133" s="11" t="str">
        <x:v>Keyword extraction only. Read page image and full context before promoting. English search cannot exclude Sinhala/Tamil or image-only content.</x:v>
      </x:c>
    </x:row>
    <x:row r="134" ht="182" customHeight="1">
      <x:c r="A134" s="8" t="str">
        <x:v>C00133</x:v>
      </x:c>
      <x:c r="B134" s="8" t="str">
        <x:v>SRC_0015</x:v>
      </x:c>
      <x:c r="C134" s="8" t="str">
        <x:v>English.pdf</x:v>
      </x:c>
      <x:c r="D134" s="18" t="n">
        <x:v>179</x:v>
      </x:c>
      <x:c r="E134" s="8" t="str">
        <x:v>bathroom</x:v>
      </x:c>
      <x:c r="F134" s="8" t="str">
        <x:v>Water Required Quantity Electricity Power Required Quantity Drinking Purpose For the bathrooms For restaurants For cultivation Availabil ity Level of consumption Solid waste Management system Yes No If it is No give suitable SWM proposal  Zone City center commercial zone Zoning compatibility Yes  No Project Budget Estimate Activity Expenditure (Rs millions) Electricity substation development Approval agencies Activity Relevant authority Responsible Institutes • Ceylon Electricity Board • Ceylon Electricity Board Regulations and Guidelines Regulations Guidelines</x:v>
      </x:c>
      <x:c r="G134" s="8" t="str">
        <x:v>candidate_unreviewed</x:v>
      </x:c>
      <x:c r="H134" s="21" t="b">
        <x:v>0</x:v>
      </x:c>
      <x:c r="I134" s="8" t="str">
        <x:v>Keyword extraction only. Read page image and full context before promoting. English search cannot exclude Sinhala/Tamil or image-only content.</x:v>
      </x:c>
    </x:row>
    <x:row r="135" ht="168" customHeight="1">
      <x:c r="A135" s="11" t="str">
        <x:v>C00134</x:v>
      </x:c>
      <x:c r="B135" s="11" t="str">
        <x:v>SRC_0015</x:v>
      </x:c>
      <x:c r="C135" s="11" t="str">
        <x:v>English.pdf</x:v>
      </x:c>
      <x:c r="D135" s="22" t="n">
        <x:v>182</x:v>
      </x:c>
      <x:c r="E135" s="11" t="str">
        <x:v>bathroom</x:v>
      </x:c>
      <x:c r="F135" s="11" t="str">
        <x:v>Water Required Quantity Electricity Power Required Quantity Drinking Purpose For the bathrooms For restaurants For cultivation Availabil ity Level of consumption Solid waste Management system Yes No If it is No give suitable SWM proposal  Zone Tourism Development zone Zoning compatibility Yes  No Preconditions of the project Department of Archeology, Urban Development Authority, Department of Museums, Road Development Authority has identified some projects during 2012-2014. Old Court Complex</x:v>
      </x:c>
      <x:c r="G135" s="11" t="str">
        <x:v>candidate_unreviewed</x:v>
      </x:c>
      <x:c r="H135" s="24" t="b">
        <x:v>0</x:v>
      </x:c>
      <x:c r="I135" s="11" t="str">
        <x:v>Keyword extraction only. Read page image and full context before promoting. English search cannot exclude Sinhala/Tamil or image-only content.</x:v>
      </x:c>
    </x:row>
    <x:row r="136" ht="112" customHeight="1">
      <x:c r="A136" s="8" t="str">
        <x:v>C00135</x:v>
      </x:c>
      <x:c r="B136" s="8" t="str">
        <x:v>SRC_0015</x:v>
      </x:c>
      <x:c r="C136" s="8" t="str">
        <x:v>English.pdf</x:v>
      </x:c>
      <x:c r="D136" s="18" t="n">
        <x:v>186</x:v>
      </x:c>
      <x:c r="E136" s="8" t="str">
        <x:v>bathroom</x:v>
      </x:c>
      <x:c r="F136" s="8" t="str">
        <x:v>Water Required Quantity Electricity Power Required Quantity Drinking Purpose For the bathrooms For restaurants For cultivation Availabil ity Level of consumption Solid waste Management system Yes No If it is No give suitable SWM proposal  Zone Tourism Development Zone Zoning compatibility Yes  No</x:v>
      </x:c>
      <x:c r="G136" s="8" t="str">
        <x:v>candidate_unreviewed</x:v>
      </x:c>
      <x:c r="H136" s="21" t="b">
        <x:v>0</x:v>
      </x:c>
      <x:c r="I136" s="8" t="str">
        <x:v>Keyword extraction only. Read page image and full context before promoting. English search cannot exclude Sinhala/Tamil or image-only content.</x:v>
      </x:c>
    </x:row>
    <x:row r="137" ht="112" customHeight="1">
      <x:c r="A137" s="11" t="str">
        <x:v>C00136</x:v>
      </x:c>
      <x:c r="B137" s="11" t="str">
        <x:v>SRC_0015</x:v>
      </x:c>
      <x:c r="C137" s="11" t="str">
        <x:v>English.pdf</x:v>
      </x:c>
      <x:c r="D137" s="22" t="n">
        <x:v>190</x:v>
      </x:c>
      <x:c r="E137" s="11" t="str">
        <x:v>bathroom</x:v>
      </x:c>
      <x:c r="F137" s="11" t="str">
        <x:v>Water Required Quantity Electricity Power Required Quantity Drinking Purpose For the bathrooms For restaurants For cultivation Availabil ity Level of consumption Solid waste Management system Yes No If it is No give suitable SWM proposal  Zone Tourism Development Zone Zoning compatibility Yes  No Beach Park Sea Saltern</x:v>
      </x:c>
      <x:c r="G137" s="11" t="str">
        <x:v>candidate_unreviewed</x:v>
      </x:c>
      <x:c r="H137" s="24" t="b">
        <x:v>0</x:v>
      </x:c>
      <x:c r="I137" s="11" t="str">
        <x:v>Keyword extraction only. Read page image and full context before promoting. English search cannot exclude Sinhala/Tamil or image-only content.</x:v>
      </x:c>
    </x:row>
    <x:row r="138" ht="210" customHeight="1">
      <x:c r="A138" s="8" t="str">
        <x:v>C00137</x:v>
      </x:c>
      <x:c r="B138" s="8" t="str">
        <x:v>SRC_0015</x:v>
      </x:c>
      <x:c r="C138" s="8" t="str">
        <x:v>English.pdf</x:v>
      </x:c>
      <x:c r="D138" s="18" t="n">
        <x:v>194</x:v>
      </x:c>
      <x:c r="E138" s="8" t="str">
        <x:v>bathroom</x:v>
      </x:c>
      <x:c r="F138" s="8" t="str">
        <x:v>Water Required Quantity Electricity Power Required Quantity Drinking Purpose For the bathrooms For restaurants For cultivation Availabil ity Level of consumption Solid waste Management system Yes No If it is No give suitable SWM proposal  Zone Tourism Development Zone Zoning compatibility Yes  No Project Budget Estimate Activity Expenditure (Rs millions) Construction of Circular Road Approval agencies Activity Relevant authority Responsible Institutes • Ministry of Fisheries • Coast Conservation Department • Divisional Secretariat - Hambantota • Hambantota Municipal Council • Ministry of Fisheries • Coast Conservation Department • Divisional Secretaria</x:v>
      </x:c>
      <x:c r="G138" s="8" t="str">
        <x:v>candidate_unreviewed</x:v>
      </x:c>
      <x:c r="H138" s="21" t="b">
        <x:v>0</x:v>
      </x:c>
      <x:c r="I138" s="8" t="str">
        <x:v>Keyword extraction only. Read page image and full context before promoting. English search cannot exclude Sinhala/Tamil or image-only content.</x:v>
      </x:c>
    </x:row>
    <x:row r="139" ht="112" customHeight="1">
      <x:c r="A139" s="11" t="str">
        <x:v>C00138</x:v>
      </x:c>
      <x:c r="B139" s="11" t="str">
        <x:v>SRC_0015</x:v>
      </x:c>
      <x:c r="C139" s="11" t="str">
        <x:v>English.pdf</x:v>
      </x:c>
      <x:c r="D139" s="22" t="n">
        <x:v>197</x:v>
      </x:c>
      <x:c r="E139" s="11" t="str">
        <x:v>bathroom</x:v>
      </x:c>
      <x:c r="F139" s="11" t="str">
        <x:v>Water Required Quantity Electricity Power Required Quantity Drinking Purpose For the bathrooms For restaurants For cultivation Availabil ity Level of consumption Solid waste Management system Yes No If it is No give suitable SWM proposal  Zone Tourism Development Zone Zoning compatibility Yes  No</x:v>
      </x:c>
      <x:c r="G139" s="11" t="str">
        <x:v>candidate_unreviewed</x:v>
      </x:c>
      <x:c r="H139" s="24" t="b">
        <x:v>0</x:v>
      </x:c>
      <x:c r="I139" s="11" t="str">
        <x:v>Keyword extraction only. Read page image and full context before promoting. English search cannot exclude Sinhala/Tamil or image-only content.</x:v>
      </x:c>
    </x:row>
    <x:row r="140" ht="112" customHeight="1">
      <x:c r="A140" s="8" t="str">
        <x:v>C00139</x:v>
      </x:c>
      <x:c r="B140" s="8" t="str">
        <x:v>SRC_0015</x:v>
      </x:c>
      <x:c r="C140" s="8" t="str">
        <x:v>English.pdf</x:v>
      </x:c>
      <x:c r="D140" s="18" t="n">
        <x:v>201</x:v>
      </x:c>
      <x:c r="E140" s="8" t="str">
        <x:v>bathroom</x:v>
      </x:c>
      <x:c r="F140" s="8" t="str">
        <x:v>Water Required Quantity Electricity Power Required Quantity Drinking Purpose For the bathrooms For restaurants For cultivation Availabil ity Level of consumption Solid waste Management system Yes No If it is No give suitable SWM proposal  Zone Tourism Development Zone Zoning compatibility Yes  No</x:v>
      </x:c>
      <x:c r="G140" s="8" t="str">
        <x:v>candidate_unreviewed</x:v>
      </x:c>
      <x:c r="H140" s="21" t="b">
        <x:v>0</x:v>
      </x:c>
      <x:c r="I140" s="8" t="str">
        <x:v>Keyword extraction only. Read page image and full context before promoting. English search cannot exclude Sinhala/Tamil or image-only content.</x:v>
      </x:c>
    </x:row>
    <x:row r="141" ht="224" customHeight="1">
      <x:c r="A141" s="11" t="str">
        <x:v>C00140</x:v>
      </x:c>
      <x:c r="B141" s="11" t="str">
        <x:v>SRC_0016</x:v>
      </x:c>
      <x:c r="C141" s="11" t="str">
        <x:v>ErvurE_2025.pdf</x:v>
      </x:c>
      <x:c r="D141" s="22" t="n">
        <x:v>53</x:v>
      </x:c>
      <x:c r="E141" s="11" t="str">
        <x:v>plot coverage</x:v>
      </x:c>
      <x:c r="F141" s="11" t="str">
        <x:v>2 sq.km in Tamil community’s G.N. Divisions. It has been recognized through the analysis that 100% plot coverage without allocating any open space and constructing the building more than G+1 within the less than 6 Perches of land, especially in town area along the A15 Main Road and Punnakuda Road about 80 shops with land plot size between 2-4 Perches can be grasped, and there is not any provision of parking facilities within those premises and most of the vehicles are parked on the road side, due to the land scarcity. Through this situation could be realized that violation of UDA regulation happening in this area. Shops with small plot size 13% 73 % 5.46% 4% 6% Developable Different uses protected &amp; sensitive Agricultur</x:v>
      </x:c>
      <x:c r="G141" s="11" t="str">
        <x:v>candidate_unreviewed</x:v>
      </x:c>
      <x:c r="H141" s="24" t="b">
        <x:v>0</x:v>
      </x:c>
      <x:c r="I141" s="11" t="str">
        <x:v>Keyword extraction only. Read page image and full context before promoting. English search cannot exclude Sinhala/Tamil or image-only content.</x:v>
      </x:c>
    </x:row>
    <x:row r="142" ht="238" customHeight="1">
      <x:c r="A142" s="8" t="str">
        <x:v>C00141</x:v>
      </x:c>
      <x:c r="B142" s="8" t="str">
        <x:v>SRC_0016</x:v>
      </x:c>
      <x:c r="C142" s="8" t="str">
        <x:v>ErvurE_2025.pdf</x:v>
      </x:c>
      <x:c r="D142" s="18" t="n">
        <x:v>118</x:v>
      </x:c>
      <x:c r="E142" s="8" t="str">
        <x:v>plot coverage</x:v>
      </x:c>
      <x:c r="F142" s="8" t="str">
        <x:v>t the transition point with mixed use activities and it’s differentiated through floor area ratio, plot coverage and mixed urban activities. The main functioning town center in the main artery road have been classified and road have been classified and intended to be emerged into commercial corridor and service town Centre. Here the commercial corridors are prominent with commercial activity. Service Centre to be developed comprised with mixed use development to enhance the service to the entire planning area. This chapter explore the entire futuristic land use patterns, urban form of Eravur development area which collaborate create a strength and support for the local and provincial area to form the “Glorious urban Arcade in the east corrido</x:v>
      </x:c>
      <x:c r="G142" s="8" t="str">
        <x:v>candidate_unreviewed</x:v>
      </x:c>
      <x:c r="H142" s="21" t="b">
        <x:v>0</x:v>
      </x:c>
      <x:c r="I142" s="8" t="str">
        <x:v>Keyword extraction only. Read page image and full context before promoting. English search cannot exclude Sinhala/Tamil or image-only content.</x:v>
      </x:c>
    </x:row>
    <x:row r="143" ht="84" customHeight="1">
      <x:c r="A143" s="11" t="str">
        <x:v>C00142</x:v>
      </x:c>
      <x:c r="B143" s="11" t="str">
        <x:v>SRC_0016</x:v>
      </x:c>
      <x:c r="C143" s="11" t="str">
        <x:v>ErvurE_2025.pdf</x:v>
      </x:c>
      <x:c r="D143" s="22" t="n">
        <x:v>196</x:v>
      </x:c>
      <x:c r="E143" s="11" t="str">
        <x:v>plot coverage</x:v>
      </x:c>
      <x:c r="F143" s="11" t="str">
        <x:v>sidered for the allowable floor Area ratio for the proposed development. But while calculating the plot coverage percentage, the rest of the plot, excluding the portion belonging to the street line / proposed road width should be considered.</x:v>
      </x:c>
      <x:c r="G143" s="11" t="str">
        <x:v>candidate_unreviewed</x:v>
      </x:c>
      <x:c r="H143" s="24" t="b">
        <x:v>0</x:v>
      </x:c>
      <x:c r="I143" s="11" t="str">
        <x:v>Keyword extraction only. Read page image and full context before promoting. English search cannot exclude Sinhala/Tamil or image-only content.</x:v>
      </x:c>
    </x:row>
    <x:row r="144" ht="434" customHeight="1">
      <x:c r="A144" s="8" t="str">
        <x:v>C00143</x:v>
      </x:c>
      <x:c r="B144" s="8" t="str">
        <x:v>SRC_0016</x:v>
      </x:c>
      <x:c r="C144" s="8" t="str">
        <x:v>ErvurE_2025.pdf</x:v>
      </x:c>
      <x:c r="D144" s="18" t="n">
        <x:v>197</x:v>
      </x:c>
      <x:c r="E144" s="8" t="str">
        <x:v>minimum width, plot coverage</x:v>
      </x:c>
      <x:c r="F144" s="8" t="str">
        <x:v>7.4.8). in cases where the development premises face more than one road having right of way with a minimum width of 6m or more than that and connected to main road independently, the sum of the widths of all those roads must be considered as the access road width to calculate the permissible development on a case –by –case basis. 7.4.9). In the construction of buildings, the Maximum Permissible Floor Area Ratio related to the Zone factor given in “Form A’ shall be determined in accordance with the specifications given in Table No 17 By considering the slope of the proposed land. Table No. 19 Permissible Plot Coverage and Floor Area Ratio Slope of the land (degrees) Maximum Permissible Plot Coverage The Percentage of Maximum Permissib || ons given in Table No 17 By considering the slope of the proposed land. Table No. 19 Permissible Plot Coverage and Floor Area Ratio Slope of the land (degrees) Maximum Permissible Plot Coverage The Percentage of Maximum Permissible Floor Area Ratio From 00 to 100 According to the zoning regulations. 100% From 100 &lt; to 200 According to the zoning regulations. 75% From 200 &lt; to 300 50% 50% From 300 &lt; to 450 40% 35% More than 450 Development works are permitted in accordance with the recommendation of the National Building Research Organizations Source: General Regulations Gazette Notification No. 2235/54 dated 08th July 2021 of Urban Development Authority 7.4.10). In cases of bank cutting for construction work</x:v>
      </x:c>
      <x:c r="G144" s="8" t="str">
        <x:v>candidate_unreviewed</x:v>
      </x:c>
      <x:c r="H144" s="21" t="b">
        <x:v>0</x:v>
      </x:c>
      <x:c r="I144" s="8" t="str">
        <x:v>Keyword extraction only. Read page image and full context before promoting. English search cannot exclude Sinhala/Tamil or image-only content.</x:v>
      </x:c>
    </x:row>
    <x:row r="145" ht="602" customHeight="1">
      <x:c r="A145" s="11" t="str">
        <x:v>C00144</x:v>
      </x:c>
      <x:c r="B145" s="11" t="str">
        <x:v>SRC_0016</x:v>
      </x:c>
      <x:c r="C145" s="11" t="str">
        <x:v>ErvurE_2025.pdf</x:v>
      </x:c>
      <x:c r="D145" s="22" t="n">
        <x:v>212</x:v>
      </x:c>
      <x:c r="E145" s="11" t="str">
        <x:v>plot coverage, setbacks</x:v>
      </x:c>
      <x:c r="F145" s="11" t="str">
        <x:v>ed including parking areas. Number of units allowed for each road shall not be change. * Where no plot coverage specified under the zoning regulations. Schedule III – Form "E": . Setbacks and Open Spaces published by the Urban Development Authority under the Gazette No. 2235/54 dated 07/08/2021 Form E - Setbacks &amp; Open Spaces Buildin g Categor y Building Height (m) Minimum Site Frontage (m) * Plot Coverage Rear Space (m) Side Space (m) Light Well for NLV When no NLV is takin g this Whe n NLV is takin g this When no NLV is taking this end Whe n NLV is takin g Minim u m width Minim u m Area Non - Residenti al Resident ial Low Rise less than 7 6 80%** 65% 2.3m 2.3m - 2.3m 2.3m 5 Sq.m 7 less tha || e. * Where no plot coverage specified under the zoning regulations. Schedule III – Form "E": . Setbacks and Open Spaces published by the Urban Development Authority under the Gazette No. 2235/54 dated 07/08/2021 Form E - Setbacks &amp; Open Spaces Buildin g Categor y Building Height (m) Minimum Site Frontage (m) * Plot Coverage Rear Space (m) Side Space (m) Light Well for NLV When no NLV is takin g this Whe n NLV is takin g this When no NLV is taking this end Whe n NLV is takin g Minim u m width Minim u m Area Non - Residenti al Resident ial Low Rise less than 7 6 80%** 65% 2.3m 2.3m - 2.3m 2.3m 5 Sq.m 7 less than 15 6 65% 65% 3.0m 3.0m - 3.0m 3.0m 9 Sq.m Inter Mediate Rise 15 l || lished by the Urban Development Authority under the Gazette No. 2235/54 dated 07/08/2021 Form E - Setbacks &amp; Open Spaces Buildin g Categor y Building Height (m) Minimum Site Frontage (m) * Plot Coverage Rear Space (m) Side Space (m) Light Well for NLV When no NLV is takin g this Whe n NLV is takin g this When no NLV is taking this end Whe n NLV is takin g Minim u m width Minim u m Area Non - Residenti al Resident ial Low Rise less than 7 6 80%** 65% 2.3m 2.3m - 2.3m 2.3m 5 Sq.m 7 less than 15 6 65% 65% 3.0m 3.0m - 3.0m 3.0m 9 Sq.m Inter Mediate Rise 15 less than 30 12 65% 65% 4.0m 4.0m 1.0m and 3 0m 4.0m 4.0m 16 Sq.m Middle Rise 30 less than 50 20 65% 65% 4.0m</x:v>
      </x:c>
      <x:c r="G145" s="11" t="str">
        <x:v>candidate_unreviewed</x:v>
      </x:c>
      <x:c r="H145" s="24" t="b">
        <x:v>0</x:v>
      </x:c>
      <x:c r="I145" s="11" t="str">
        <x:v>Keyword extraction only. Read page image and full context before promoting. English search cannot exclude Sinhala/Tamil or image-only content.</x:v>
      </x:c>
    </x:row>
    <x:row r="146" ht="210" customHeight="1">
      <x:c r="A146" s="8" t="str">
        <x:v>C00145</x:v>
      </x:c>
      <x:c r="B146" s="8" t="str">
        <x:v>SRC_0016</x:v>
      </x:c>
      <x:c r="C146" s="8" t="str">
        <x:v>ErvurE_2025.pdf</x:v>
      </x:c>
      <x:c r="D146" s="18" t="n">
        <x:v>247</x:v>
      </x:c>
      <x:c r="E146" s="8" t="str">
        <x:v>plot coverage</x:v>
      </x:c>
      <x:c r="F146" s="8" t="str">
        <x:v>elopmentzones 181 Table No 18: ZoneFactor 183 Table No: 19: Permissible Plot Coverage and Floor Area Ratio 185 TableNo.20: Regulations and permissible uses for Commercial zone 190 Table No. 21: Regulations and permissible uses for Mixed Development zone 191 Table No. 22: Regulations and permissible uses for Residential zone 193 Table No. 23: Regulations and permissible uses for Conservation zone 195 List of Charts Chart No. 1: Ethnic Composition in Eravur Urban Council Area 25 Chart No. 2: Population by Age group 26 Chart No 3: land use classification of Eravur UC Area 28 Chart No 4: Land use classification of Eravur UC Area 33 Chart No 5: Approved building Plan in</x:v>
      </x:c>
      <x:c r="G146" s="8" t="str">
        <x:v>candidate_unreviewed</x:v>
      </x:c>
      <x:c r="H146" s="21" t="b">
        <x:v>0</x:v>
      </x:c>
      <x:c r="I146" s="8" t="str">
        <x:v>Keyword extraction only. Read page image and full context before promoting. English search cannot exclude Sinhala/Tamil or image-only content.</x:v>
      </x:c>
    </x:row>
    <x:row r="147" ht="224" customHeight="1">
      <x:c r="A147" s="11" t="str">
        <x:v>C00146</x:v>
      </x:c>
      <x:c r="B147" s="11" t="str">
        <x:v>SRC_0017</x:v>
      </x:c>
      <x:c r="C147" s="11" t="str">
        <x:v>Euston_Opportunity_Brochure.pdf</x:v>
      </x:c>
      <x:c r="D147" s="22" t="n">
        <x:v>30</x:v>
      </x:c>
      <x:c r="E147" s="11" t="str">
        <x:v>bedroom</x:v>
      </x:c>
      <x:c r="F147" s="11" t="str">
        <x:v>overcrowding on estates, linked to a shortage of family-sized accommodation – especially 2 and 3 bedroom housing – which is reflected in long waiting times for residents with growing families. Estate renewal therefore presents an opportunity not only to increase housing supply, but to improve housing quality, energy performance and space standards, while securing tangible benefits for current residents. This cannot be achieved through improvements to existing housing alone and will require the delivery of new homes alongside sustained investment in the existing stock. Collaboratively delivered, renewal can support: better homes and living conditions, new and improved community facilities and open space, pathways into skills and longe</x:v>
      </x:c>
      <x:c r="G147" s="11" t="str">
        <x:v>candidate_unreviewed</x:v>
      </x:c>
      <x:c r="H147" s="24" t="b">
        <x:v>0</x:v>
      </x:c>
      <x:c r="I147" s="11" t="str">
        <x:v>Keyword extraction only. Read page image and full context before promoting. English search cannot exclude Sinhala/Tamil or image-only content.</x:v>
      </x:c>
    </x:row>
    <x:row r="148" ht="630" customHeight="1">
      <x:c r="A148" s="8" t="str">
        <x:v>C00147</x:v>
      </x:c>
      <x:c r="B148" s="8" t="str">
        <x:v>SRC_0022</x:v>
      </x:c>
      <x:c r="C148" s="8" t="str">
        <x:v>Hakmana Development Plan - English.pdf</x:v>
      </x:c>
      <x:c r="D148" s="18" t="n">
        <x:v>129</x:v>
      </x:c>
      <x:c r="E148" s="8" t="str">
        <x:v>plot coverage, setbacks</x:v>
      </x:c>
      <x:c r="F148" s="8" t="str">
        <x:v>including parking areas Number of units allowed for each road shall not be changed * Where no plot coverage specified under the Zoning Regulations Table 22: Setbacks less than 7 6 80%** 65% 2.3m 2.3m - 2.3m 2.3m 5 Sq.m 7 less than 15 6 65% 65% 3.0m 3.0m - 3.0m 3.0m 9 Sq.m 15 less than 30 12 65% 65% 4.0m 4.0m 1.0m and 3.0m 4.0m 4.0m 16 Sq.m 30 less than 50 20 65% 65% 4.0m 5.0m 3.0m both side 5.0m 5.0m 25 Sq.m 50 less than 75 30 50%*** 50%*** 5.0m 6.0m 4.0m both side 6.0m 6.0m 36 Sq.m 75 and above Above 40m 50%*** 50%*** 5.0m 6.0m 5.0m both side 6.0m 6.0m **** **** Minimum area shall be increased by 1 Sq.m for every additional 3m height Minimum Area Light Well for NLV Form C - Setbacks &amp; Open Spaces Build || ll not be changed * Where no plot coverage specified under the Zoning Regulations Table 22: Setbacks less than 7 6 80%** 65% 2.3m 2.3m - 2.3m 2.3m 5 Sq.m 7 less than 15 6 65% 65% 3.0m 3.0m - 3.0m 3.0m 9 Sq.m 15 less than 30 12 65% 65% 4.0m 4.0m 1.0m and 3.0m 4.0m 4.0m 16 Sq.m 30 less than 50 20 65% 65% 4.0m 5.0m 3.0m both side 5.0m 5.0m 25 Sq.m 50 less than 75 30 50%*** 50%*** 5.0m 6.0m 4.0m both side 6.0m 6.0m 36 Sq.m 75 and above Above 40m 50%*** 50%*** 5.0m 6.0m 5.0m both side 6.0m 6.0m **** **** Minimum area shall be increased by 1 Sq.m for every additional 3m height Minimum Area Light Well for NLV Form C - Setbacks &amp; Open Spaces Building Height (m) Minimum Site Frontage (m) Rear Space (m) When || l be increased by 1 Sq.m for every additional 3m height Minimum Area Light Well for NLV Form C - Setbacks &amp; Open Spaces Building Height (m) Minimum Site Frontage (m) Rear Space (m) When no NLV is taking this end When NLV is taking this end When no NLV is taking this end Side Space (m) When NLV is taking this end Non Residential Residential Plot Coverage* Minimum width NLV - Natural Light &amp; Ventilation Building Height - Height between access road level to roof top or roof level (Including parking floors) * Where no Plot Coverage specified under the zoning regulations ** The entire development is for non-residential activities *** 65% plot coverage can be allowed only for the podium level not exceeding 20% of the tower height</x:v>
      </x:c>
      <x:c r="G148" s="8" t="str">
        <x:v>candidate_unreviewed</x:v>
      </x:c>
      <x:c r="H148" s="21" t="b">
        <x:v>0</x:v>
      </x:c>
      <x:c r="I148" s="8" t="str">
        <x:v>Keyword extraction only. Read page image and full context before promoting. English search cannot exclude Sinhala/Tamil or image-only content.</x:v>
      </x:c>
    </x:row>
    <x:row r="149" ht="224" customHeight="1">
      <x:c r="A149" s="11" t="str">
        <x:v>C00148</x:v>
      </x:c>
      <x:c r="B149" s="11" t="str">
        <x:v>SRC_0022</x:v>
      </x:c>
      <x:c r="C149" s="11" t="str">
        <x:v>Hakmana Development Plan - English.pdf</x:v>
      </x:c>
      <x:c r="D149" s="22" t="n">
        <x:v>133</x:v>
      </x:c>
      <x:c r="E149" s="11" t="str">
        <x:v>staircase</x:v>
      </x:c>
      <x:c r="F149" s="11" t="str">
        <x:v>113 7.4.23. The building line for any public foot path or staircase should be as mentioned in chapter 09. 7.4.24. The final decision on the allocation of reservations or hurdle zones for the protection and maintenance of the ecological surroundings in a particular location is carried out by the Authority. 7.4.25. In addition to the separate uses in the specific zone, the authority will be allowed subject to conditions if the Authority is satisfied for other uses. 7.4.26. Special approvals for the issuance of hazardous sterilization or contaminating industries or businesses must be obtained from the Authority. 7.4.27. Approval should be obtained from the institutions recommended by the Author</x:v>
      </x:c>
      <x:c r="G149" s="11" t="str">
        <x:v>candidate_unreviewed</x:v>
      </x:c>
      <x:c r="H149" s="24" t="b">
        <x:v>0</x:v>
      </x:c>
      <x:c r="I149" s="11" t="str">
        <x:v>Keyword extraction only. Read page image and full context before promoting. English search cannot exclude Sinhala/Tamil or image-only content.</x:v>
      </x:c>
    </x:row>
    <x:row r="150" ht="224" customHeight="1">
      <x:c r="A150" s="8" t="str">
        <x:v>C00149</x:v>
      </x:c>
      <x:c r="B150" s="8" t="str">
        <x:v>SRC_0022</x:v>
      </x:c>
      <x:c r="C150" s="8" t="str">
        <x:v>Hakmana Development Plan - English.pdf</x:v>
      </x:c>
      <x:c r="D150" s="18" t="n">
        <x:v>139</x:v>
      </x:c>
      <x:c r="E150" s="8" t="str">
        <x:v>plot coverage</x:v>
      </x:c>
      <x:c r="F150" s="8" t="str">
        <x:v>missible Floor Area As per in Table 20 Permissible height limit As per in Table 21. Permissible plot coverage 65% Zoning Guidelines  Minimum Land Extent 250 m2 (10 Perch)  Parking spaces should be provided within the land or in a common parking area.  Tanks, canals, paddy lands in this region should be maintained in such manner. When minimum land plot sizes of high lands are not available for government projects paddy lands could be utilize under the recommendations from relevant institutions. Table 26 : Permissible Uses of Moderate Intense Development Zone Permissible Uses Other 1. Residential Buildings, Hostels and Guest house 2. Hospitals ,Medical Counselling centers and Health Centers 3. Rest houses, Canteen,</x:v>
      </x:c>
      <x:c r="G150" s="8" t="str">
        <x:v>candidate_unreviewed</x:v>
      </x:c>
      <x:c r="H150" s="21" t="b">
        <x:v>0</x:v>
      </x:c>
      <x:c r="I150" s="8" t="str">
        <x:v>Keyword extraction only. Read page image and full context before promoting. English search cannot exclude Sinhala/Tamil or image-only content.</x:v>
      </x:c>
    </x:row>
    <x:row r="151" ht="140" customHeight="1">
      <x:c r="A151" s="11" t="str">
        <x:v>C00150</x:v>
      </x:c>
      <x:c r="B151" s="11" t="str">
        <x:v>SRC_0022</x:v>
      </x:c>
      <x:c r="C151" s="11" t="str">
        <x:v>Hakmana Development Plan - English.pdf</x:v>
      </x:c>
      <x:c r="D151" s="22" t="n">
        <x:v>141</x:v>
      </x:c>
      <x:c r="E151" s="11" t="str">
        <x:v>plot coverage</x:v>
      </x:c>
      <x:c r="F151" s="11" t="str">
        <x:v>xure viii) Permitted Height limit Building height limit within this zone is 01 m . Permissible plot coverage 1% Zoning Guidelines  Minimum land extent 40 perch  The wetlands and paddy fields within this zone should be maintained in the similar manner  1 acre land is allowed for not more than 10 square meter construction with the approval of the Department of Agrarian Development for tourism purposes.</x:v>
      </x:c>
      <x:c r="G151" s="11" t="str">
        <x:v>candidate_unreviewed</x:v>
      </x:c>
      <x:c r="H151" s="24" t="b">
        <x:v>0</x:v>
      </x:c>
      <x:c r="I151" s="11" t="str">
        <x:v>Keyword extraction only. Read page image and full context before promoting. English search cannot exclude Sinhala/Tamil or image-only content.</x:v>
      </x:c>
    </x:row>
    <x:row r="152" ht="238" customHeight="1">
      <x:c r="A152" s="8" t="str">
        <x:v>C00151</x:v>
      </x:c>
      <x:c r="B152" s="8" t="str">
        <x:v>SRC_0022</x:v>
      </x:c>
      <x:c r="C152" s="8" t="str">
        <x:v>Hakmana Development Plan - English.pdf</x:v>
      </x:c>
      <x:c r="D152" s="18" t="n">
        <x:v>191</x:v>
      </x:c>
      <x:c r="E152" s="8" t="str">
        <x:v>setbacks</x:v>
      </x:c>
      <x:c r="F152" s="8" t="str">
        <x:v>m &amp; 4.5m Wide Roads ................................................................ 109 Table 22: Setbacks .............................................................................................................................. 109 Table 23 : Zoning Guidelines for Intense Development Zone ............................................................ 117 Table 24 : Permissible Uses of Intense Development Zone ............................................................... 118 Table 25 : Zoning Guidelines for Moderate Intense Development Zone ........................................... 119 Table 26 : Permissible Uses of Moderate Intense Development Zone ............................................... 119 Table 27: Zoning Guidelines for Lo</x:v>
      </x:c>
      <x:c r="G152" s="8" t="str">
        <x:v>candidate_unreviewed</x:v>
      </x:c>
      <x:c r="H152" s="21" t="b">
        <x:v>0</x:v>
      </x:c>
      <x:c r="I152" s="8" t="str">
        <x:v>Keyword extraction only. Read page image and full context before promoting. English search cannot exclude Sinhala/Tamil or image-only content.</x:v>
      </x:c>
    </x:row>
    <x:row r="153" ht="210" customHeight="1">
      <x:c r="A153" s="11" t="str">
        <x:v>C00152</x:v>
      </x:c>
      <x:c r="B153" s="11" t="str">
        <x:v>SRC_0023</x:v>
      </x:c>
      <x:c r="C153" s="11" t="str">
        <x:v>HattonDP2023-2033_E.pdf</x:v>
      </x:c>
      <x:c r="D153" s="22" t="n">
        <x:v>53</x:v>
      </x:c>
      <x:c r="E153" s="11" t="str">
        <x:v>minimum width</x:v>
      </x:c>
      <x:c r="F153" s="11" t="str">
        <x:v>idth of the pavement. The width of the pavement is not adequate. The maximum width is 1.5m and the minimum width is 0.3m. And some pedestrian ways have no width. (Annexure 39) Table 3.3: Pavement Width Source: Hatton-Dickoya Urban Council 2021 It can be found out most of the area of the pedestrian path has encroached by the shops and it is reason to make difficulties for smooth flow of pedestrian movement. Chapter 03 Need of the Development Plan Identified Issues Limitation of Vehicle and Pedestrian Mobility Pedestrian Path Pavement width(m) Near the Station 1 Side Street 1.5 Near the mosque 1.5 Beyond Private Bus stand 1 Market area 1.5 Market entran</x:v>
      </x:c>
      <x:c r="G153" s="11" t="str">
        <x:v>candidate_unreviewed</x:v>
      </x:c>
      <x:c r="H153" s="24" t="b">
        <x:v>0</x:v>
      </x:c>
      <x:c r="I153" s="11" t="str">
        <x:v>Keyword extraction only. Read page image and full context before promoting. English search cannot exclude Sinhala/Tamil or image-only content.</x:v>
      </x:c>
    </x:row>
    <x:row r="154" ht="224" customHeight="1">
      <x:c r="A154" s="8" t="str">
        <x:v>C00153</x:v>
      </x:c>
      <x:c r="B154" s="8" t="str">
        <x:v>SRC_0023</x:v>
      </x:c>
      <x:c r="C154" s="8" t="str">
        <x:v>HattonDP2023-2033_E.pdf</x:v>
      </x:c>
      <x:c r="D154" s="18" t="n">
        <x:v>84</x:v>
      </x:c>
      <x:c r="E154" s="8" t="str">
        <x:v>plot coverage</x:v>
      </x:c>
      <x:c r="F154" s="8" t="str">
        <x:v>all types of infrastructure facilities, including sewerage and drainage systems, and maintain the plot coverage within the town area. The development of existing roads, alternative roads, and internal roads will provide better transportation and introduce planning regulations to carry out future development activities while conserving the existing tea plantation as well as water resources. Under this land use plan, 6 main use zones have been formulated which are appended below. 1. High-Density Mixed Development Zone 2. Medium Density Mixed Development Zone 3. Low-Density Residential Zone 4. Agriculture Zone 5. Low Sensitive Conservation Zone 6. High-Sensitive Conservation Zone Planned, built environment and a physical form are being</x:v>
      </x:c>
      <x:c r="G154" s="8" t="str">
        <x:v>candidate_unreviewed</x:v>
      </x:c>
      <x:c r="H154" s="21" t="b">
        <x:v>0</x:v>
      </x:c>
      <x:c r="I154" s="8" t="str">
        <x:v>Keyword extraction only. Read page image and full context before promoting. English search cannot exclude Sinhala/Tamil or image-only content.</x:v>
      </x:c>
    </x:row>
    <x:row r="155" ht="280" customHeight="1">
      <x:c r="A155" s="11" t="str">
        <x:v>C00154</x:v>
      </x:c>
      <x:c r="B155" s="11" t="str">
        <x:v>SRC_0023</x:v>
      </x:c>
      <x:c r="C155" s="11" t="str">
        <x:v>HattonDP2023-2033_E.pdf</x:v>
      </x:c>
      <x:c r="D155" s="22" t="n">
        <x:v>154</x:v>
      </x:c>
      <x:c r="E155" s="11" t="str">
        <x:v>minimum width, plot coverage</x:v>
      </x:c>
      <x:c r="F155" s="11" t="str">
        <x:v>sidered for the allowable Floor Area Ratio for the proposed development. But while calculating the plot coverage percentage, the rest of the plot, excluding the portion belonging to the street line/proposed road width should be considered. 7.4.6 In cases where the development premises face more than one road having the right of way with a minimum width of 6 m or more than and connected to main roads independently, the sum of the widths of all those roads may be considered as the access road width to calculate the permissible development on a case-by-case basis. || .6 In cases where the development premises face more than one road having the right of way with a minimum width of 6 m or more than and connected to main roads independently, the sum of the widths of all those roads may be considered as the access road width to calculate the permissible development on a case-by-case basis.</x:v>
      </x:c>
      <x:c r="G155" s="11" t="str">
        <x:v>candidate_unreviewed</x:v>
      </x:c>
      <x:c r="H155" s="24" t="b">
        <x:v>0</x:v>
      </x:c>
      <x:c r="I155" s="11" t="str">
        <x:v>Keyword extraction only. Read page image and full context before promoting. English search cannot exclude Sinhala/Tamil or image-only content.</x:v>
      </x:c>
    </x:row>
    <x:row r="156" ht="224" customHeight="1">
      <x:c r="A156" s="8" t="str">
        <x:v>C00155</x:v>
      </x:c>
      <x:c r="B156" s="8" t="str">
        <x:v>SRC_0023</x:v>
      </x:c>
      <x:c r="C156" s="8" t="str">
        <x:v>HattonDP2023-2033_E.pdf</x:v>
      </x:c>
      <x:c r="D156" s="18" t="n">
        <x:v>155</x:v>
      </x:c>
      <x:c r="E156" s="8" t="str">
        <x:v>plot coverage</x:v>
      </x:c>
      <x:c r="F156" s="8" t="str">
        <x:v>d and in accordance with the specifications shown in Table No 7.2. Table 7.2: Permissible Maximum Plot Coverage Percentage and FAR percentage depending on the slope of the land Source: Urban Development Authority , 2023 7.4.8 In case of sub-division of a sloping land, the Minimum Land Extent shall be maintained as per the specifications given below Table 7.3: The Minimum Land Extent and width &amp; depth of the land in accordance with the slope of the land Slope of the land (Degree) Minimum Permissible Land Extent (Sqm) Minimum Permissible Width and Depth of Land From 00 to 100 150 Must comply with planning and development regulations. From 100 &lt; to 200 250 From 200 &lt; to 300 500 From 300 &lt; to 450 750 Above 450 Developme</x:v>
      </x:c>
      <x:c r="G156" s="8" t="str">
        <x:v>candidate_unreviewed</x:v>
      </x:c>
      <x:c r="H156" s="21" t="b">
        <x:v>0</x:v>
      </x:c>
      <x:c r="I156" s="8" t="str">
        <x:v>Keyword extraction only. Read page image and full context before promoting. English search cannot exclude Sinhala/Tamil or image-only content.</x:v>
      </x:c>
    </x:row>
    <x:row r="157" ht="70" customHeight="1">
      <x:c r="A157" s="11" t="str">
        <x:v>C00156</x:v>
      </x:c>
      <x:c r="B157" s="11" t="str">
        <x:v>SRC_0023</x:v>
      </x:c>
      <x:c r="C157" s="11" t="str">
        <x:v>HattonDP2023-2033_E.pdf</x:v>
      </x:c>
      <x:c r="D157" s="22" t="n">
        <x:v>158</x:v>
      </x:c>
      <x:c r="E157" s="11" t="str">
        <x:v>minimum width</x:v>
      </x:c>
      <x:c r="F157" s="11" t="str">
        <x:v>pecifications of stairs Width of Stair 1.8m Maximum Height of Stair 6 inches Minimum Width of Stair 12 inches Maximum Length of Stair 300 m Building Line 1 m from the border</x:v>
      </x:c>
      <x:c r="G157" s="11" t="str">
        <x:v>candidate_unreviewed</x:v>
      </x:c>
      <x:c r="H157" s="24" t="b">
        <x:v>0</x:v>
      </x:c>
      <x:c r="I157" s="11" t="str">
        <x:v>Keyword extraction only. Read page image and full context before promoting. English search cannot exclude Sinhala/Tamil or image-only content.</x:v>
      </x:c>
    </x:row>
    <x:row r="158" ht="490" customHeight="1">
      <x:c r="A158" s="8" t="str">
        <x:v>C00157</x:v>
      </x:c>
      <x:c r="B158" s="8" t="str">
        <x:v>SRC_0023</x:v>
      </x:c>
      <x:c r="C158" s="8" t="str">
        <x:v>HattonDP2023-2033_E.pdf</x:v>
      </x:c>
      <x:c r="D158" s="18" t="n">
        <x:v>159</x:v>
      </x:c>
      <x:c r="E158" s="8" t="str">
        <x:v>minimum width, plot coverage</x:v>
      </x:c>
      <x:c r="F158" s="8" t="str">
        <x:v>evelopment Authority 144 7.4.29 The number of floors for 3m, 4.5m wide roads, and stairs with a minimum width of 1.5m should be placed as per “B” form. (Only for residential, commercial (retail), and tourist uses) 7.4.30 The following specifications are applicable in the development of existing and new narrow lanes in the town Minimum width 1.8 meters There should be lighting &amp; Landscaping 7.4.31 For every construction in these zones, the recommendation of the National Building Research Organization (NBRO) should be obtained regarding land suitability and construction. 7.4.32 Every building must have foundations that can safely support the individual weight of the building and the load imposed on it in such a way that no settlement || ing specifications are applicable in the development of existing and new narrow lanes in the town Minimum width 1.8 meters There should be lighting &amp; Landscaping 7.4.31 For every construction in these zones, the recommendation of the National Building Research Organization (NBRO) should be obtained regarding land suitability and construction. 7.4.32 Every building must have foundations that can safely support the individual weight of the building and the load imposed on it in such a way that no settlement or movement occurs to damage the stability of the whole building or any part thereof or damage the whole building or any part thereof or any adjacent building. 7.4.33 The ground supporting or helping to support a building || e indicated including parking areas Maximum Height of Building should be below 10m * Where no plot coverage is specified under the zoning regulations ** Residential, Commercial (Retail) &amp; Tourism only</x:v>
      </x:c>
      <x:c r="G158" s="8" t="str">
        <x:v>candidate_unreviewed</x:v>
      </x:c>
      <x:c r="H158" s="21" t="b">
        <x:v>0</x:v>
      </x:c>
      <x:c r="I158" s="8" t="str">
        <x:v>Keyword extraction only. Read page image and full context before promoting. English search cannot exclude Sinhala/Tamil or image-only content.</x:v>
      </x:c>
    </x:row>
    <x:row r="159" ht="224" customHeight="1">
      <x:c r="A159" s="11" t="str">
        <x:v>C00158</x:v>
      </x:c>
      <x:c r="B159" s="11" t="str">
        <x:v>SRC_0023</x:v>
      </x:c>
      <x:c r="C159" s="11" t="str">
        <x:v>HattonDP2023-2033_E.pdf</x:v>
      </x:c>
      <x:c r="D159" s="22" t="n">
        <x:v>164</x:v>
      </x:c>
      <x:c r="E159" s="11" t="str">
        <x:v>setbacks</x:v>
      </x:c>
      <x:c r="F159" s="11" t="str">
        <x:v>Source: Urban Development Authority Nuwara Eliya District Office,2023 Setbacks &amp; Maximum Height As per the form “E” in Schedule III Minimum Land Extent for Sub Division 150sq.m (6P) Permissible Uses As per the form “F” in Schedule IV &amp; “G” in Schedule V Common Zoning Regulations 1. For all proposed constructions in this zone, it is mandatory to show parking spaces within the same plot. If it is not possible to show such space in any case, after consideration by the planning committee, payment should be made to the Local Authority for the parking spaces based on a proper assessment 2. Approval cannot be considered in cases where a piece of land is less than 150 Square Meters. However, if there is</x:v>
      </x:c>
      <x:c r="G159" s="11" t="str">
        <x:v>candidate_unreviewed</x:v>
      </x:c>
      <x:c r="H159" s="24" t="b">
        <x:v>0</x:v>
      </x:c>
      <x:c r="I159" s="11" t="str">
        <x:v>Keyword extraction only. Read page image and full context before promoting. English search cannot exclude Sinhala/Tamil or image-only content.</x:v>
      </x:c>
    </x:row>
    <x:row r="160" ht="224" customHeight="1">
      <x:c r="A160" s="8" t="str">
        <x:v>C00159</x:v>
      </x:c>
      <x:c r="B160" s="8" t="str">
        <x:v>SRC_0023</x:v>
      </x:c>
      <x:c r="C160" s="8" t="str">
        <x:v>HattonDP2023-2033_E.pdf</x:v>
      </x:c>
      <x:c r="D160" s="18" t="n">
        <x:v>166</x:v>
      </x:c>
      <x:c r="E160" s="8" t="str">
        <x:v>setbacks</x:v>
      </x:c>
      <x:c r="F160" s="8" t="str">
        <x:v>Source: Urban Development Authority Nuwara Eliya District Office,2023 Setbacks &amp; Maximum Height As per the form “E” in Schedule III Minimum Land Extent for Sub Division 250sq.m (10P) Permissible Uses As per the form “F” in Schedule IV &amp; “G” in Schedule V Common Zoning Regulations 1. If development activity carries out on the lands which have direct access through Avissawella - Hatton - Nuwara Eliya Main Road parking facilities should be provided within the respective land. 2. For all proposed development in the Dickoya town area, it is mandatory to show parking spaces within the same land. If it is not possible to show such space in any case, after consideration by the planning committee, paymen</x:v>
      </x:c>
      <x:c r="G160" s="8" t="str">
        <x:v>candidate_unreviewed</x:v>
      </x:c>
      <x:c r="H160" s="21" t="b">
        <x:v>0</x:v>
      </x:c>
      <x:c r="I160" s="8" t="str">
        <x:v>Keyword extraction only. Read page image and full context before promoting. English search cannot exclude Sinhala/Tamil or image-only content.</x:v>
      </x:c>
    </x:row>
    <x:row r="161" ht="224" customHeight="1">
      <x:c r="A161" s="11" t="str">
        <x:v>C00160</x:v>
      </x:c>
      <x:c r="B161" s="11" t="str">
        <x:v>SRC_0023</x:v>
      </x:c>
      <x:c r="C161" s="11" t="str">
        <x:v>HattonDP2023-2033_E.pdf</x:v>
      </x:c>
      <x:c r="D161" s="22" t="n">
        <x:v>168</x:v>
      </x:c>
      <x:c r="E161" s="11" t="str">
        <x:v>setbacks</x:v>
      </x:c>
      <x:c r="F161" s="11" t="str">
        <x:v>Source: Urban Development Authority Nuwara Eliya District Office,2023 Setbacks &amp; Maximum Height As per the form “E” in Schedule III Minimum Land Extent for Sub- Division 250sq.m (10P) Permissible Uses As per the form “F” in Schedule IV &amp; “G” in Schedule V Common Zoning Regulations 1. In some cases, when it is proposed to develop housing projects under low-income or special funds or with the objectives of developing estate infrastructure related to Tea cultivation, the responsible party must obtain a Preliminary Planning Clearance from the Urban Development Authority at the initial stage 2. Should obtain approval from other institutions in case where those recommendations are deemed necessary.</x:v>
      </x:c>
      <x:c r="G161" s="11" t="str">
        <x:v>candidate_unreviewed</x:v>
      </x:c>
      <x:c r="H161" s="24" t="b">
        <x:v>0</x:v>
      </x:c>
      <x:c r="I161" s="11" t="str">
        <x:v>Keyword extraction only. Read page image and full context before promoting. English search cannot exclude Sinhala/Tamil or image-only content.</x:v>
      </x:c>
    </x:row>
    <x:row r="162" ht="84" customHeight="1">
      <x:c r="A162" s="8" t="str">
        <x:v>C00161</x:v>
      </x:c>
      <x:c r="B162" s="8" t="str">
        <x:v>SRC_0023</x:v>
      </x:c>
      <x:c r="C162" s="8" t="str">
        <x:v>HattonDP2023-2033_E.pdf</x:v>
      </x:c>
      <x:c r="D162" s="18" t="n">
        <x:v>169</x:v>
      </x:c>
      <x:c r="E162" s="8" t="str">
        <x:v>plot coverage</x:v>
      </x:c>
      <x:c r="F162" s="8" t="str">
        <x:v>/ Number of floors As per the form “A” in Schedule I &amp; “B” in Schedule II Permissible Maximum Plot Coverage As per the form “B” in Schedule II and form “E” in Schedule III Chapter 08 Zoning Regulations Agricultural Zone</x:v>
      </x:c>
      <x:c r="G162" s="8" t="str">
        <x:v>candidate_unreviewed</x:v>
      </x:c>
      <x:c r="H162" s="21" t="b">
        <x:v>0</x:v>
      </x:c>
      <x:c r="I162" s="8" t="str">
        <x:v>Keyword extraction only. Read page image and full context before promoting. English search cannot exclude Sinhala/Tamil or image-only content.</x:v>
      </x:c>
    </x:row>
    <x:row r="163" ht="224" customHeight="1">
      <x:c r="A163" s="11" t="str">
        <x:v>C00162</x:v>
      </x:c>
      <x:c r="B163" s="11" t="str">
        <x:v>SRC_0023</x:v>
      </x:c>
      <x:c r="C163" s="11" t="str">
        <x:v>HattonDP2023-2033_E.pdf</x:v>
      </x:c>
      <x:c r="D163" s="22" t="n">
        <x:v>170</x:v>
      </x:c>
      <x:c r="E163" s="11" t="str">
        <x:v>setbacks</x:v>
      </x:c>
      <x:c r="F163" s="11" t="str">
        <x:v>Source: Urban Development Authority Nuwara Eliya District Office,2023 Setbacks &amp; Maximum Height As per the form “E” in Schedule III Minimum Land Extent for Sub- Division 250sq.m (10P) Permissible Uses As per the form “F” in Schedule IV &amp; “G” in Schedule V Common Zoning Regulations 1. It is not permitted any environmentally damaging industrial activities and practices. 2. Subdivision of agricultural land is not allowed and construction is allowed only on 30% of the land cover. The remaining land should be used for agricultural purposes only. 3. After reviewing the projects by the Urban Development Authority, permission is granted for environmental and tea-related tourism activities. 4. In</x:v>
      </x:c>
      <x:c r="G163" s="11" t="str">
        <x:v>candidate_unreviewed</x:v>
      </x:c>
      <x:c r="H163" s="24" t="b">
        <x:v>0</x:v>
      </x:c>
      <x:c r="I163" s="11" t="str">
        <x:v>Keyword extraction only. Read page image and full context before promoting. English search cannot exclude Sinhala/Tamil or image-only content.</x:v>
      </x:c>
    </x:row>
    <x:row r="164" ht="210" customHeight="1">
      <x:c r="A164" s="8" t="str">
        <x:v>C00163</x:v>
      </x:c>
      <x:c r="B164" s="8" t="str">
        <x:v>SRC_0023</x:v>
      </x:c>
      <x:c r="C164" s="8" t="str">
        <x:v>HattonDP2023-2033_E.pdf</x:v>
      </x:c>
      <x:c r="D164" s="18" t="n">
        <x:v>172</x:v>
      </x:c>
      <x:c r="E164" s="8" t="str">
        <x:v>setbacks</x:v>
      </x:c>
      <x:c r="F164" s="8" t="str">
        <x:v>Source: Urban Development Authority Nuwara Eliya District Office,2023 Setbacks &amp; Maximum Height As per the form “E” in Schedule III Minimum Land Extent for Sub- Division - Permissible Uses As per the form “F” in Schedule IV &amp; “G” in Schedule V Common Zoning Regulations 1. All construction in this zone must be subject to a preliminary planning clearance from the Urban Development Authority. 2. After reviewing the projects by the Urban Development Authority, permission is granted for environmental and tea-related tourism activities. 3. The existing use shall be continued in the same manner and no permanent construction shall be permitted. 4. Subdivisions are not allowed. 5. National Prio</x:v>
      </x:c>
      <x:c r="G164" s="8" t="str">
        <x:v>candidate_unreviewed</x:v>
      </x:c>
      <x:c r="H164" s="21" t="b">
        <x:v>0</x:v>
      </x:c>
      <x:c r="I164" s="8" t="str">
        <x:v>Keyword extraction only. Read page image and full context before promoting. English search cannot exclude Sinhala/Tamil or image-only content.</x:v>
      </x:c>
    </x:row>
    <x:row r="165" ht="196" customHeight="1">
      <x:c r="A165" s="11" t="str">
        <x:v>C00164</x:v>
      </x:c>
      <x:c r="B165" s="11" t="str">
        <x:v>SRC_0023</x:v>
      </x:c>
      <x:c r="C165" s="11" t="str">
        <x:v>HattonDP2023-2033_E.pdf</x:v>
      </x:c>
      <x:c r="D165" s="22" t="n">
        <x:v>174</x:v>
      </x:c>
      <x:c r="E165" s="11" t="str">
        <x:v>setbacks</x:v>
      </x:c>
      <x:c r="F165" s="11" t="str">
        <x:v>Source: Urban Development Authority Nuwara Eliya District Office,2023 Setbacks &amp; Maximum Height As per the form “E” in Schedule III Minimum Land Extent for Sub- Division - Permissible Uses As per the form “F” in Schedule IV &amp; “G” in Schedule V Common Zoning Regulations 1. The existing land use should be continued in the same manner. 2. No construction will be allowed. 3. National Priority Projects will be considered by the District Planning Committee of the Urban Development Authority 4. After considering the proposal by the Urban Development Authority, telecommunication towers, and telephone poles are allowed.</x:v>
      </x:c>
      <x:c r="G165" s="11" t="str">
        <x:v>candidate_unreviewed</x:v>
      </x:c>
      <x:c r="H165" s="24" t="b">
        <x:v>0</x:v>
      </x:c>
      <x:c r="I165" s="11" t="str">
        <x:v>Keyword extraction only. Read page image and full context before promoting. English search cannot exclude Sinhala/Tamil or image-only content.</x:v>
      </x:c>
    </x:row>
    <x:row r="166" ht="602" customHeight="1">
      <x:c r="A166" s="8" t="str">
        <x:v>C00165</x:v>
      </x:c>
      <x:c r="B166" s="8" t="str">
        <x:v>SRC_0023</x:v>
      </x:c>
      <x:c r="C166" s="8" t="str">
        <x:v>HattonDP2023-2033_E.pdf</x:v>
      </x:c>
      <x:c r="D166" s="18" t="n">
        <x:v>180</x:v>
      </x:c>
      <x:c r="E166" s="8" t="str">
        <x:v>plot coverage, setbacks</x:v>
      </x:c>
      <x:c r="F166" s="8" t="str">
        <x:v>Form B - Number of Floors for 3.0m &amp; 4.5m wide Roads Minimum Road Width Minimum Site Frontage Plot Coverage* Maximum Number of Floors Zone Factor 0.5 - 0.74 Zone Factor 0.75 - 1.24 Zone Factor 1.50 - 3.49 3.0m 6m 65% 1 (G) 2 (G+1) 3 (G+2) 4.5m 6m 65% 1 (G) 2 (G+1) 3 (G+2) Number of floors are indicated including parking areas * Where no plot coverage specified under the zoning regulations Form E - Setbacks &amp; Open Spaces Building Height (m) Minimum Site Frontage (m) Plot Coverage * Rear Space (m) Side Space (m) Light Well for NLV Non-Residential Residential When no NLV is taking this end When NLV is taking this end When no NLV is taking this end When NLV is taking this end Minimum width Minimu || % 1 (G) 2 (G+1) 3 (G+2) Number of floors are indicated including parking areas * Where no plot coverage specified under the zoning regulations Form E - Setbacks &amp; Open Spaces Building Height (m) Minimum Site Frontage (m) Plot Coverage * Rear Space (m) Side Space (m) Light Well for NLV Non-Residential Residential When no NLV is taking this end When NLV is taking this end When no NLV is taking this end When NLV is taking this end Minimum width Minimum Area less than 7 6 80%** 65% 2.3m 2.3m - 2.3m 2.3m 5Sq.m 7 less than 15 6 65% 65% 3.0m 3.0m - 3.0m 3.0m 9 Sq.m 15 less than 30 12 65% 65% 4.0m 4.0m 1.0m and 3.0m 4.0m 4.0m 16 Sq.m 30 less than 50 20 65% 65% 4.0m 5.0m 3.0m both side 5.0m || cluding parking areas * Where no plot coverage specified under the zoning regulations Form E - Setbacks &amp; Open Spaces Building Height (m) Minimum Site Frontage (m) Plot Coverage * Rear Space (m) Side Space (m) Light Well for NLV Non-Residential Residential When no NLV is taking this end When NLV is taking this end When no NLV is taking this end When NLV is taking this end Minimum width Minimum Area less than 7 6 80%** 65% 2.3m 2.3m - 2.3m 2.3m 5Sq.m 7 less than 15 6 65% 65% 3.0m 3.0m - 3.0m 3.0m 9 Sq.m 15 less than 30 12 65% 65% 4.0m 4.0m 1.0m and 3.0m 4.0m 4.0m 16 Sq.m 30 less than 50 20 65% 65% 4.0m 5.0m 3.0m both side 5.0m 5.0m 25 Sq.m 50 less than 75 30 50%*** 50%*** 5.0m</x:v>
      </x:c>
      <x:c r="G166" s="8" t="str">
        <x:v>candidate_unreviewed</x:v>
      </x:c>
      <x:c r="H166" s="21" t="b">
        <x:v>0</x:v>
      </x:c>
      <x:c r="I166" s="8" t="str">
        <x:v>Keyword extraction only. Read page image and full context before promoting. English search cannot exclude Sinhala/Tamil or image-only content.</x:v>
      </x:c>
    </x:row>
    <x:row r="167" ht="238" customHeight="1">
      <x:c r="A167" s="11" t="str">
        <x:v>C00166</x:v>
      </x:c>
      <x:c r="B167" s="11" t="str">
        <x:v>SRC_0023</x:v>
      </x:c>
      <x:c r="C167" s="11" t="str">
        <x:v>HattonDP2023-2033_E.pdf</x:v>
      </x:c>
      <x:c r="D167" s="22" t="n">
        <x:v>196</x:v>
      </x:c>
      <x:c r="E167" s="11" t="str">
        <x:v>plot coverage</x:v>
      </x:c>
      <x:c r="F167" s="11" t="str">
        <x:v>ZONING FACTOR……………………………………………………………………………………………………………………………………137 TABLE 7.2: PERMISSIBLE MAXIMUM PLOT COVERAGE PERCENTAGE AND FAR PERCENTAGE DEPENDING ON THE SLOPE OF THE LAND……………………………140 TABLE 7.3: THE MINIMUM LAND EXTENT AND WIDTH &amp; DEPTH OF THE LAND IN ACCORDANCE WITH THE SLOPE OF THE LAND…………………………………….140 TABLE 8.1: ZONING REGULATIONS OF HIGH DENSITY IXED DEVELOPMENT ZONE………………………………………………………………………………………………….148 TABLE 8.2: ZONING REGULATIONS OF MEDIUM DENSITY MIXED DEVELOPMENT ZONE………………………………………………………………………………………….150 TABLE 8.3: ZONING REGULATIONS OF LOW DENSITY RESIDENTIAL ZONE…………………………………………………………………………………………………………….152 TABLE 8.4: ZONING REGULATIONS OF AGRICULTURAL ZONE………………………………………………………………………………………………………………………………154 TABLE 8.</x:v>
      </x:c>
      <x:c r="G167" s="11" t="str">
        <x:v>candidate_unreviewed</x:v>
      </x:c>
      <x:c r="H167" s="24" t="b">
        <x:v>0</x:v>
      </x:c>
      <x:c r="I167" s="11" t="str">
        <x:v>Keyword extraction only. Read page image and full context before promoting. English search cannot exclude Sinhala/Tamil or image-only content.</x:v>
      </x:c>
    </x:row>
    <x:row r="168" ht="322" customHeight="1">
      <x:c r="A168" s="8" t="str">
        <x:v>C00167</x:v>
      </x:c>
      <x:c r="B168" s="8" t="str">
        <x:v>SRC_0026</x:v>
      </x:c>
      <x:c r="C168" s="8" t="str">
        <x:v>Homagama.zip::Homagama/Development Plan-homagama.pdf</x:v>
      </x:c>
      <x:c r="D168" s="18" t="n">
        <x:v>57</x:v>
      </x:c>
      <x:c r="E168" s="8" t="str">
        <x:v>plot coverage</x:v>
      </x:c>
      <x:c r="F168" s="8" t="str">
        <x:v>sq.m) Minimum extent of Plot 150sq.m(access, water supply Sewerage facilities to be provided ) Plot coverage As per schedule “C”in Volume II Floor are ratio 1:3:0 Parking Requirements Parking requirements as per schedule C of Volume II should be provided within the site. Note  In accordance with the Central Environment Authority standards, petrol filling stations, vehicle servicing stations , Bakeries ,Laundries and small scale industries, could be permitted subject to extend of the land, plot coverage, surrounding development of the area, width of access road, parking facilities, provision to maintaining of buffer zone.  Petrol filling stations and vehicle service stations on lands which are more than 1000sq.m in extent. || Bakeries ,Laundries and small scale industries, could be permitted subject to extend of the land, plot coverage, surrounding development of the area, width of access road, parking facilities, provision to maintaining of buffer zone.  Petrol filling stations and vehicle service stations on lands which are more than 1000sq.m in extent.</x:v>
      </x:c>
      <x:c r="G168" s="8" t="str">
        <x:v>candidate_unreviewed</x:v>
      </x:c>
      <x:c r="H168" s="21" t="b">
        <x:v>0</x:v>
      </x:c>
      <x:c r="I168" s="8" t="str">
        <x:v>Keyword extraction only. Read page image and full context before promoting. English search cannot exclude Sinhala/Tamil or image-only content.</x:v>
      </x:c>
    </x:row>
    <x:row r="169" ht="140" customHeight="1">
      <x:c r="A169" s="11" t="str">
        <x:v>C00168</x:v>
      </x:c>
      <x:c r="B169" s="11" t="str">
        <x:v>SRC_0026</x:v>
      </x:c>
      <x:c r="C169" s="11" t="str">
        <x:v>Homagama.zip::Homagama/Development Plan-homagama.pdf</x:v>
      </x:c>
      <x:c r="D169" s="22" t="n">
        <x:v>68</x:v>
      </x:c>
      <x:c r="E169" s="11" t="str">
        <x:v>light and ventilation</x:v>
      </x:c>
      <x:c r="F169" s="11" t="str">
        <x:v>work collectively.  In building designing, efficiency in the use of power and obtaining natural light and ventilation and the use of solar energy should be considered.  Sustainable measures to prevent flooding should be implemented and thereby control upper valley water management and lower valley flooding.  Special regulations could be laid by the Urban Development Authority when granting approval for any development within the zone.</x:v>
      </x:c>
      <x:c r="G169" s="11" t="str">
        <x:v>candidate_unreviewed</x:v>
      </x:c>
      <x:c r="H169" s="24" t="b">
        <x:v>0</x:v>
      </x:c>
      <x:c r="I169" s="11" t="str">
        <x:v>Keyword extraction only. Read page image and full context before promoting. English search cannot exclude Sinhala/Tamil or image-only content.</x:v>
      </x:c>
    </x:row>
    <x:row r="170" ht="56" customHeight="1">
      <x:c r="A170" s="8" t="str">
        <x:v>C00169</x:v>
      </x:c>
      <x:c r="B170" s="8" t="str">
        <x:v>SRC_0026</x:v>
      </x:c>
      <x:c r="C170" s="8" t="str">
        <x:v>Homagama.zip::Homagama/Development Plan-homagama.pdf</x:v>
      </x:c>
      <x:c r="D170" s="18" t="n">
        <x:v>70</x:v>
      </x:c>
      <x:c r="E170" s="8" t="str">
        <x:v>light and ventilation</x:v>
      </x:c>
      <x:c r="F170" s="8" t="str">
        <x:v>work collectively.  In building designing, efficiency in the use of power and obtaining natural light and ventilation and use of</x:v>
      </x:c>
      <x:c r="G170" s="8" t="str">
        <x:v>candidate_unreviewed</x:v>
      </x:c>
      <x:c r="H170" s="21" t="b">
        <x:v>0</x:v>
      </x:c>
      <x:c r="I170" s="8" t="str">
        <x:v>Keyword extraction only. Read page image and full context before promoting. English search cannot exclude Sinhala/Tamil or image-only content.</x:v>
      </x:c>
    </x:row>
    <x:row r="171" ht="224" customHeight="1">
      <x:c r="A171" s="11" t="str">
        <x:v>C00170</x:v>
      </x:c>
      <x:c r="B171" s="11" t="str">
        <x:v>SRC_0026</x:v>
      </x:c>
      <x:c r="C171" s="11" t="str">
        <x:v>Homagama.zip::Homagama/Development Plan-homagama.pdf</x:v>
      </x:c>
      <x:c r="D171" s="22" t="n">
        <x:v>72</x:v>
      </x:c>
      <x:c r="E171" s="11" t="str">
        <x:v>plot coverage</x:v>
      </x:c>
      <x:c r="F171" s="11" t="str">
        <x:v>ir shops 14. Public assembly halls 15. Parks and playgrounds Minimum extent of Plot 300 sq.m Plot coverage 65% Floor area ratio Parking requirements As per schedule ”C” in Volume II Notes  Sufficient parking facilities should be provided within the site.  The proposed development should not obstruct or create traffic congestion in the area.  The proposed development should be compatible with the existing uses should not have any adverse effects on the existing services of the area, any effects on the privacy of the surrounding area, environmental pollution or any other adverse effects.  The extent of the land should be sufficient for the proposed use should have adequate infrastructure facilities and adequate protective</x:v>
      </x:c>
      <x:c r="G171" s="11" t="str">
        <x:v>candidate_unreviewed</x:v>
      </x:c>
      <x:c r="H171" s="24" t="b">
        <x:v>0</x:v>
      </x:c>
      <x:c r="I171" s="11" t="str">
        <x:v>Keyword extraction only. Read page image and full context before promoting. English search cannot exclude Sinhala/Tamil or image-only content.</x:v>
      </x:c>
    </x:row>
    <x:row r="172" ht="224" customHeight="1">
      <x:c r="A172" s="8" t="str">
        <x:v>C00171</x:v>
      </x:c>
      <x:c r="B172" s="8" t="str">
        <x:v>SRC_0026</x:v>
      </x:c>
      <x:c r="C172" s="8" t="str">
        <x:v>Homagama.zip::Homagama/Development Plan-homagama.pdf</x:v>
      </x:c>
      <x:c r="D172" s="18" t="n">
        <x:v>73</x:v>
      </x:c>
      <x:c r="E172" s="8" t="str">
        <x:v>plot coverage</x:v>
      </x:c>
      <x:c r="F172" s="8" t="str">
        <x:v>14. Special Sports Activities confirmed to highlands. Minimum extent of Plot 1000 sq.m. Plot Coverage 50% Floor Area Ratio - Parking requirement Sufficient parking facilities should be provided within the Site. Notes  Preliminary Planning Clearance should be obtained fromteh Urban Development Authority  The proposed development should not obstruct or create traffic congestion in the area  Any development activity should not adversely effect the natural environment of the area or the public utilities and services of the area or to the inheritance of the area or to the population in the area.  The extent of the land should be sufficient for the proposed use . should have adequate infrastructure facilities and adequat</x:v>
      </x:c>
      <x:c r="G172" s="8" t="str">
        <x:v>candidate_unreviewed</x:v>
      </x:c>
      <x:c r="H172" s="21" t="b">
        <x:v>0</x:v>
      </x:c>
      <x:c r="I172" s="8" t="str">
        <x:v>Keyword extraction only. Read page image and full context before promoting. English search cannot exclude Sinhala/Tamil or image-only content.</x:v>
      </x:c>
    </x:row>
    <x:row r="173" ht="224" customHeight="1">
      <x:c r="A173" s="11" t="str">
        <x:v>C00172</x:v>
      </x:c>
      <x:c r="B173" s="11" t="str">
        <x:v>SRC_0026</x:v>
      </x:c>
      <x:c r="C173" s="11" t="str">
        <x:v>Homagama.zip::Homagama/Development Plan-homagama.pdf</x:v>
      </x:c>
      <x:c r="D173" s="22" t="n">
        <x:v>75</x:v>
      </x:c>
      <x:c r="E173" s="11" t="str">
        <x:v>plot coverage</x:v>
      </x:c>
      <x:c r="F173" s="11" t="str">
        <x:v>Authority , and any other types of animal farms are not permissible. Minimum extent of Plot Plot coverage Floor area ratio Parking requirements Notes  The natural formation of the site should be maintained as it is and any cut and removal of earth or filling of the land should not be carried out.  All constructions should be on Concrete columns.  Concrete slabs should not be used as the roof. The roof style should be of with roof slops with different roof plates. The roof should be covered with tiles or with aluminum sheets in green or brown color.  The colors of the out walls of the buildings should be in harmony with the natural environment and green or brown colours could be used. The door and windows of out side w</x:v>
      </x:c>
      <x:c r="G173" s="11" t="str">
        <x:v>candidate_unreviewed</x:v>
      </x:c>
      <x:c r="H173" s="24" t="b">
        <x:v>0</x:v>
      </x:c>
      <x:c r="I173" s="11" t="str">
        <x:v>Keyword extraction only. Read page image and full context before promoting. English search cannot exclude Sinhala/Tamil or image-only content.</x:v>
      </x:c>
    </x:row>
    <x:row r="174" ht="644" customHeight="1">
      <x:c r="A174" s="8" t="str">
        <x:v>C00173</x:v>
      </x:c>
      <x:c r="B174" s="8" t="str">
        <x:v>SRC_0031</x:v>
      </x:c>
      <x:c r="C174" s="8" t="str">
        <x:v>Kalpitiya Development Plan - English.pdf</x:v>
      </x:c>
      <x:c r="D174" s="18" t="n">
        <x:v>272</x:v>
      </x:c>
      <x:c r="E174" s="8" t="str">
        <x:v>plot coverage, setbacks</x:v>
      </x:c>
      <x:c r="F174" s="8" t="str">
        <x:v>cated including parking areas Number of units allowed for each road shall not be changed * Where no plot coverage specified under the zoning regulations Table No 7.2 - Form B - Number of Floors for 3.0m &amp; 4.5m wide Roads Table No 7.3 - Form E - Setbacks &amp; Open Spaces NLV - Natural Light &amp; Ventilation Building Height - Height between access road level to roof top or roof level (Including parking floors) * Where no Plot Coverage specified under the zoning regulations ** The entire development is for non-residential activities *** 65% plot coverage can be allowed only for the podium level not exceeding 20% of the tower height or 12 floors which ever is less **** Minimum area shall be increased by 1 Sq.m for every additional 3m height Form E - Setbac || ns Table No 7.2 - Form B - Number of Floors for 3.0m &amp; 4.5m wide Roads Table No 7.3 - Form E - Setbacks &amp; Open Spaces NLV - Natural Light &amp; Ventilation Building Height - Height between access road level to roof top or roof level (Including parking floors) * Where no Plot Coverage specified under the zoning regulations ** The entire development is for non-residential activities *** 65% plot coverage can be allowed only for the podium level not exceeding 20% of the tower height or 12 floors which ever is less **** Minimum area shall be increased by 1 Sq.m for every additional 3m height Form E - Setbacks &amp; Open Spaces Building Category Building Height (m) Minimum Site Frontage (m) Plot Coverage* Rear Space (m) Side Space (m) Light Well fo || - Height between access road level to roof top or roof level (Including parking floors) * Where no Plot Coverage specified under the zoning regulations ** The entire development is for non-residential activities *** 65% plot coverage can be allowed only for the podium level not exceeding 20% of the tower height or 12 floors which ever is less **** Minimum area shall be increased by 1 Sq.m for every additional 3m height Form E - Setbacks &amp; Open Spaces Building Category Building Height (m) Minimum Site Frontage (m) Plot Coverage* Rear Space (m) Side Space (m) Light Well for NLV Non Resi­ dential Resi­ dential When no NLV is taking this end When NLV is taking this end When no NLV is ta</x:v>
      </x:c>
      <x:c r="G174" s="8" t="str">
        <x:v>candidate_unreviewed</x:v>
      </x:c>
      <x:c r="H174" s="21" t="b">
        <x:v>0</x:v>
      </x:c>
      <x:c r="I174" s="8" t="str">
        <x:v>Keyword extraction only. Read page image and full context before promoting. English search cannot exclude Sinhala/Tamil or image-only content.</x:v>
      </x:c>
    </x:row>
    <x:row r="175" ht="224" customHeight="1">
      <x:c r="A175" s="11" t="str">
        <x:v>C00174</x:v>
      </x:c>
      <x:c r="B175" s="11" t="str">
        <x:v>SRC_0031</x:v>
      </x:c>
      <x:c r="C175" s="11" t="str">
        <x:v>Kalpitiya Development Plan - English.pdf</x:v>
      </x:c>
      <x:c r="D175" s="22" t="n">
        <x:v>275</x:v>
      </x:c>
      <x:c r="E175" s="11" t="str">
        <x:v>minimum width</x:v>
      </x:c>
      <x:c r="F175" s="11" t="str">
        <x:v>257 Kalpitiya Development Plan | 2021-2030 Urban Development Authority 23. The minimum width of the access road should be 9 meters for all the development over 600 sqm except residential and tourist hotel developments. 24. Preliminary planning Clarence of the Urban Development Authority should be obtained for all development activities exceeding 400 sqm of non-residential uses. 25. According to the Extraordinary Gazette Notification No. 1468/15 dated 17.10.2006, all buildings should provide facilities with proper standardization to persons with disabilities. 26. It is not recommended to remove all natural sand dunes and if any removal is done, the recommendation should be obtained from an EIA report.</x:v>
      </x:c>
      <x:c r="G175" s="11" t="str">
        <x:v>candidate_unreviewed</x:v>
      </x:c>
      <x:c r="H175" s="24" t="b">
        <x:v>0</x:v>
      </x:c>
      <x:c r="I175" s="11" t="str">
        <x:v>Keyword extraction only. Read page image and full context before promoting. English search cannot exclude Sinhala/Tamil or image-only content.</x:v>
      </x:c>
    </x:row>
    <x:row r="176" ht="182" customHeight="1">
      <x:c r="A176" s="8" t="str">
        <x:v>C00175</x:v>
      </x:c>
      <x:c r="B176" s="8" t="str">
        <x:v>SRC_0031</x:v>
      </x:c>
      <x:c r="C176" s="8" t="str">
        <x:v>Kalpitiya Development Plan - English.pdf</x:v>
      </x:c>
      <x:c r="D176" s="18" t="n">
        <x:v>284</x:v>
      </x:c>
      <x:c r="E176" s="8" t="str">
        <x:v>plot coverage</x:v>
      </x:c>
      <x:c r="F176" s="8" t="str">
        <x:v>) Annexure 2.2 Zoning Factor 1.33 Approved Height Limit Depending on the zone coefficient Approved Plot Coverage Residential 66% Non-residential 80% tourist hotels 50% Common Requirements for the Zone I. Minimum Area - Per. 12 II. There should also be room for parking stops in the land or common parking hemmers. III. Lagoons, drains, paddy fields in this region should be main­ tained in such manner. IV. When developing a project in this region, the recommen­ dations should be obtained from the institutions con­ cerned. Table No 8.2. Mixed Development Zone I</x:v>
      </x:c>
      <x:c r="G176" s="8" t="str">
        <x:v>candidate_unreviewed</x:v>
      </x:c>
      <x:c r="H176" s="21" t="b">
        <x:v>0</x:v>
      </x:c>
      <x:c r="I176" s="8" t="str">
        <x:v>Keyword extraction only. Read page image and full context before promoting. English search cannot exclude Sinhala/Tamil or image-only content.</x:v>
      </x:c>
    </x:row>
    <x:row r="177" ht="182" customHeight="1">
      <x:c r="A177" s="11" t="str">
        <x:v>C00176</x:v>
      </x:c>
      <x:c r="B177" s="11" t="str">
        <x:v>SRC_0031</x:v>
      </x:c>
      <x:c r="C177" s="11" t="str">
        <x:v>Kalpitiya Development Plan - English.pdf</x:v>
      </x:c>
      <x:c r="D177" s="22" t="n">
        <x:v>292</x:v>
      </x:c>
      <x:c r="E177" s="11" t="str">
        <x:v>plot coverage</x:v>
      </x:c>
      <x:c r="F177" s="11" t="str">
        <x:v>s) Annexure 2.4 Zoning Factor 1.21 Approved Height Limit Depending on the zone coefficient Approved Plot Coverage Residential 66% Non-residential 80% Tourism Hotel 50% Common Requirements for the Zone i. The minimum land area per. 12 (300 square meters) ii. There should also be room for parking stops in the land or common parking hemmers. iii. Lagoons, lagoons, paddy fields in this region should be maintained in such manner. iv. Appropriate recommendations should be obtained from the institutions concerned when developing a project in this region. Table No: 8.4. Mixed Residential Zone</x:v>
      </x:c>
      <x:c r="G177" s="11" t="str">
        <x:v>candidate_unreviewed</x:v>
      </x:c>
      <x:c r="H177" s="24" t="b">
        <x:v>0</x:v>
      </x:c>
      <x:c r="I177" s="11" t="str">
        <x:v>Keyword extraction only. Read page image and full context before promoting. English search cannot exclude Sinhala/Tamil or image-only content.</x:v>
      </x:c>
    </x:row>
    <x:row r="178" ht="168" customHeight="1">
      <x:c r="A178" s="8" t="str">
        <x:v>C00177</x:v>
      </x:c>
      <x:c r="B178" s="8" t="str">
        <x:v>SRC_0031</x:v>
      </x:c>
      <x:c r="C178" s="8" t="str">
        <x:v>Kalpitiya Development Plan - English.pdf</x:v>
      </x:c>
      <x:c r="D178" s="18" t="n">
        <x:v>296</x:v>
      </x:c>
      <x:c r="E178" s="8" t="str">
        <x:v>plot coverage</x:v>
      </x:c>
      <x:c r="F178" s="8" t="str">
        <x:v>s) Annexure 2.5 Zoning Factor 1.34 Approved Height Limit Depending on the zone coefficient Approved Plot Coverage Residential 66% Non-residential 80% Common Requirements for the Zone i. The minimum land area per. 12 (300 square meters) ii. There should also be room for parking stops in the land or common parking hemmers. iii. Lagoons, lagoons, paddy fields in this region should be maintained in such manner. iv. Appropriate recommendations should be obtained from the institutions concerned when developing a project in this region.</x:v>
      </x:c>
      <x:c r="G178" s="8" t="str">
        <x:v>candidate_unreviewed</x:v>
      </x:c>
      <x:c r="H178" s="21" t="b">
        <x:v>0</x:v>
      </x:c>
      <x:c r="I178" s="8" t="str">
        <x:v>Keyword extraction only. Read page image and full context before promoting. English search cannot exclude Sinhala/Tamil or image-only content.</x:v>
      </x:c>
    </x:row>
    <x:row r="179" ht="168" customHeight="1">
      <x:c r="A179" s="11" t="str">
        <x:v>C00178</x:v>
      </x:c>
      <x:c r="B179" s="11" t="str">
        <x:v>SRC_0031</x:v>
      </x:c>
      <x:c r="C179" s="11" t="str">
        <x:v>Kalpitiya Development Plan - English.pdf</x:v>
      </x:c>
      <x:c r="D179" s="22" t="n">
        <x:v>300</x:v>
      </x:c>
      <x:c r="E179" s="11" t="str">
        <x:v>plot coverage</x:v>
      </x:c>
      <x:c r="F179" s="11" t="str">
        <x:v>s) Annexure 2.6 Zoning Factor 1.07 Approved Height Limit Depending on the zone coefficient Approved Plot Coverage Residential 66% Non-residential 80% Industry 70% Common Requirements for the Zone i. Minimum land area per. 20 ii. There should also be room for parking stops in the land or common parking hemmers. iii. Lagoons, lagoons, paddy fields in this region should be maintained in such manner. iv. When developing a project in this region, clear recommendations should be obtained from the agencies involved.</x:v>
      </x:c>
      <x:c r="G179" s="11" t="str">
        <x:v>candidate_unreviewed</x:v>
      </x:c>
      <x:c r="H179" s="24" t="b">
        <x:v>0</x:v>
      </x:c>
      <x:c r="I179" s="11" t="str">
        <x:v>Keyword extraction only. Read page image and full context before promoting. English search cannot exclude Sinhala/Tamil or image-only content.</x:v>
      </x:c>
    </x:row>
    <x:row r="180" ht="168" customHeight="1">
      <x:c r="A180" s="8" t="str">
        <x:v>C00179</x:v>
      </x:c>
      <x:c r="B180" s="8" t="str">
        <x:v>SRC_0031</x:v>
      </x:c>
      <x:c r="C180" s="8" t="str">
        <x:v>Kalpitiya Development Plan - English.pdf</x:v>
      </x:c>
      <x:c r="D180" s="18" t="n">
        <x:v>306</x:v>
      </x:c>
      <x:c r="E180" s="8" t="str">
        <x:v>plot coverage</x:v>
      </x:c>
      <x:c r="F180" s="8" t="str">
        <x:v>) Annexure 2.8 Zoning Factor 0.27 Approved Height Limit Depending on the zone coefficient Approved Plot Coverage Residential 66% Non-residential 80% Industry 70% Common Requirements for the Zone i. Minimum land area per. 40 (1000 sq. M) ii. There should also be room for parking stops in the land or common parking hemmers. iii. Lagoons, lagoons, paddy fields in this region should be maintained in such manner. iv. When developing a project in this region, the recom­ mendations should be obtained from the institutions concerned.</x:v>
      </x:c>
      <x:c r="G180" s="8" t="str">
        <x:v>candidate_unreviewed</x:v>
      </x:c>
      <x:c r="H180" s="21" t="b">
        <x:v>0</x:v>
      </x:c>
      <x:c r="I180" s="8" t="str">
        <x:v>Keyword extraction only. Read page image and full context before promoting. English search cannot exclude Sinhala/Tamil or image-only content.</x:v>
      </x:c>
    </x:row>
    <x:row r="181" ht="168" customHeight="1">
      <x:c r="A181" s="11" t="str">
        <x:v>C00180</x:v>
      </x:c>
      <x:c r="B181" s="11" t="str">
        <x:v>SRC_0031</x:v>
      </x:c>
      <x:c r="C181" s="11" t="str">
        <x:v>Kalpitiya Development Plan - English.pdf</x:v>
      </x:c>
      <x:c r="D181" s="22" t="n">
        <x:v>310</x:v>
      </x:c>
      <x:c r="E181" s="11" t="str">
        <x:v>plot coverage</x:v>
      </x:c>
      <x:c r="F181" s="11" t="str">
        <x:v>s) Annexure 2.9 Zoning Factor 0.96 Approved Height Limit Depending on the zone coefficient Approved Plot Coverage Residential 66% Non-residential 50% Common Requirements for the Zone i. Minimum land area per. 30 ii. There should also be room for parking stops in the land or common parking hemmers. iii. Lagoons, lagoons, paddy fields in this region should be maintained in such manner. iv. When developing a project in this region, the recommendations should be obtained from the institutions concerned.</x:v>
      </x:c>
      <x:c r="G181" s="11" t="str">
        <x:v>candidate_unreviewed</x:v>
      </x:c>
      <x:c r="H181" s="24" t="b">
        <x:v>0</x:v>
      </x:c>
      <x:c r="I181" s="11" t="str">
        <x:v>Keyword extraction only. Read page image and full context before promoting. English search cannot exclude Sinhala/Tamil or image-only content.</x:v>
      </x:c>
    </x:row>
    <x:row r="182" ht="238" customHeight="1">
      <x:c r="A182" s="8" t="str">
        <x:v>C00181</x:v>
      </x:c>
      <x:c r="B182" s="8" t="str">
        <x:v>SRC_0031</x:v>
      </x:c>
      <x:c r="C182" s="8" t="str">
        <x:v>Kalpitiya Development Plan - English.pdf</x:v>
      </x:c>
      <x:c r="D182" s="18" t="n">
        <x:v>347</x:v>
      </x:c>
      <x:c r="E182" s="8" t="str">
        <x:v>plot coverage</x:v>
      </x:c>
      <x:c r="F182" s="8" t="str">
        <x:v>Reclaimed land area can be used for roads, vehicle parks, toilets or treatment of waste water. 4. Plot coverage-Foot print of the building Should not exceed 1% of the reclaimed area (toilets – 16 perches0 Thebuildings within the reclaimed area should be constructed on stilts. 5. Approved infrastructure projects-Power, Water supply, Telephone cables and internal roads $% of the project area or maximum of 64 perches which ever is the minimum 6. Maximum ground floor extent of individual buildings permissible. 100 sqmtrs-4 Perches 7. Miximum height of permissible buildings 7 Mtrs above the natural ground level-should be constructed, in conformity with the overall concept of conservation, on stilts, in hidden locations to be able to observe</x:v>
      </x:c>
      <x:c r="G182" s="8" t="str">
        <x:v>candidate_unreviewed</x:v>
      </x:c>
      <x:c r="H182" s="21" t="b">
        <x:v>0</x:v>
      </x:c>
      <x:c r="I182" s="8" t="str">
        <x:v>Keyword extraction only. Read page image and full context before promoting. English search cannot exclude Sinhala/Tamil or image-only content.</x:v>
      </x:c>
    </x:row>
    <x:row r="183" ht="644" customHeight="1">
      <x:c r="A183" s="11" t="str">
        <x:v>C00182</x:v>
      </x:c>
      <x:c r="B183" s="11" t="str">
        <x:v>SRC_0033</x:v>
      </x:c>
      <x:c r="C183" s="11" t="str">
        <x:v>Kalutara(1).zip::Kalutara/Kalutara_2.pdf</x:v>
      </x:c>
      <x:c r="D183" s="22" t="n">
        <x:v>7</x:v>
      </x:c>
      <x:c r="E183" s="11" t="str">
        <x:v>minimum width</x:v>
      </x:c>
      <x:c r="F183" s="11" t="str">
        <x:v>ess requirements for a dwelling house as stipulated in Schedule (III) are to be complied with, the minimum width or access may be reduced by not more than 2 metres on the recommendations of the Head of the Local Authority and in consultation with the Planning Committee subject to the following :- (i) A minimum width of 3 metres is available for access. (ii) This reduction will not apply in case of a new sub division. (iii) The area has a semi urban character. (3) Every such street shall connect on to a public street which is not less than nine (9.0) metres in width or a private street of which the owner of such private street has a right of way which connects on to a public street which is not less than nine (9.0) metres in width || Authority and in consultation with the Planning Committee subject to the following :- (i) A minimum width of 3 metres is available for access. (ii) This reduction will not apply in case of a new sub division. (iii) The area has a semi urban character. (3) Every such street shall connect on to a public street which is not less than nine (9.0) metres in width or a private street of which the owner of such private street has a right of way which connects on to a public street which is not less than nine (9.0) metres in width. (4) Every street which is less than nine (9.0) metres in with and exceeds thirty metres in length, shall be provided with a turning circle of not less than nine (9.0) metres in diameter at the dead end. || res in diameter at the dead end. Specification As To Lots 15. (1) The minimum extent and the minimum width of lots for different classes of buildings, not being high rise buildings, should be in conformity with the specification set out in Form “C” of Schedule (III) unless the Authority has stipulated a higher or lower minimum extent and/or higher or lower width of lots in a Development Plan already approved for the area or proposed for the area. (2) Every lot or site which abuts on to the end of dead end street may have a frontage less than the width in Form “C” of Schedule (III), but have a frontage which is not less than 3.0 metres wide perpendicular to the line of the street. (3) The Authority may relax the r</x:v>
      </x:c>
      <x:c r="G183" s="11" t="str">
        <x:v>candidate_unreviewed</x:v>
      </x:c>
      <x:c r="H183" s="24" t="b">
        <x:v>0</x:v>
      </x:c>
      <x:c r="I183" s="11" t="str">
        <x:v>Keyword extraction only. Read page image and full context before promoting. English search cannot exclude Sinhala/Tamil or image-only content.</x:v>
      </x:c>
    </x:row>
    <x:row r="184" ht="224" customHeight="1">
      <x:c r="A184" s="8" t="str">
        <x:v>C00183</x:v>
      </x:c>
      <x:c r="B184" s="8" t="str">
        <x:v>SRC_0033</x:v>
      </x:c>
      <x:c r="C184" s="8" t="str">
        <x:v>Kalutara(1).zip::Kalutara/Kalutara_2.pdf</x:v>
      </x:c>
      <x:c r="D184" s="18" t="n">
        <x:v>8</x:v>
      </x:c>
      <x:c r="E184" s="8" t="str">
        <x:v>staircase</x:v>
      </x:c>
      <x:c r="F184" s="8" t="str">
        <x:v>xceeding a height of six (6) metres and not exceeding fifty five (55) square metres in extent or a staircase room not exceeding a height of 5 metres and not exceeding 25 square metres in extent or a water tank not exceeding a height of 1.5 metres shall be ignored. Street Lines And Building Lines 17. (1) Where no street lines have been determined for any street under any act or regulations the authority may determine a street line for such street taking into account the existing and proposed character of development and the nature and volume of traffic anticipated in such street. (2) The building line for every lot on the side abutting the street shall be in conformity with the specifications and categories set out in Form “D” of</x:v>
      </x:c>
      <x:c r="G184" s="8" t="str">
        <x:v>candidate_unreviewed</x:v>
      </x:c>
      <x:c r="H184" s="21" t="b">
        <x:v>0</x:v>
      </x:c>
      <x:c r="I184" s="8" t="str">
        <x:v>Keyword extraction only. Read page image and full context before promoting. English search cannot exclude Sinhala/Tamil or image-only content.</x:v>
      </x:c>
    </x:row>
    <x:row r="185" ht="224" customHeight="1">
      <x:c r="A185" s="11" t="str">
        <x:v>C00184</x:v>
      </x:c>
      <x:c r="B185" s="11" t="str">
        <x:v>SRC_0033</x:v>
      </x:c>
      <x:c r="C185" s="11" t="str">
        <x:v>Kalutara(1).zip::Kalutara/Kalutara_2.pdf</x:v>
      </x:c>
      <x:c r="D185" s="22" t="n">
        <x:v>9</x:v>
      </x:c>
      <x:c r="E185" s="11" t="str">
        <x:v>minimum width</x:v>
      </x:c>
      <x:c r="F185" s="11" t="str">
        <x:v>roposed public street or a street in accordance with the provisions of regulation 18. (2) The minimum width of a carriageway reservation for the streets shall be as approved by the Authority but in no case shall be less than 3.6 metres for streets up to 9.0 metres in width and 6.0 metres for streets wider than the 9.0 metres. 20. (1) Where the parcel of land or site to be sub-divided exceeds 1.0 hectare an area of not less than ten percentum of the land or site excluding streets shall be reserved for community recreation and open space uses in appropriate locations except in the following instances :- (a) In commercial and industrial land sub divisions, if the minimum and parcel of the sub division is not less than 2.024 sq.m. (80</x:v>
      </x:c>
      <x:c r="G185" s="11" t="str">
        <x:v>candidate_unreviewed</x:v>
      </x:c>
      <x:c r="H185" s="24" t="b">
        <x:v>0</x:v>
      </x:c>
      <x:c r="I185" s="11" t="str">
        <x:v>Keyword extraction only. Read page image and full context before promoting. English search cannot exclude Sinhala/Tamil or image-only content.</x:v>
      </x:c>
    </x:row>
    <x:row r="186" ht="224" customHeight="1">
      <x:c r="A186" s="8" t="str">
        <x:v>C00185</x:v>
      </x:c>
      <x:c r="B186" s="8" t="str">
        <x:v>SRC_0033</x:v>
      </x:c>
      <x:c r="C186" s="8" t="str">
        <x:v>Kalutara(1).zip::Kalutara/Kalutara_2.pdf</x:v>
      </x:c>
      <x:c r="D186" s="18" t="n">
        <x:v>11</x:v>
      </x:c>
      <x:c r="E186" s="8" t="str">
        <x:v>plot coverage</x:v>
      </x:c>
      <x:c r="F186" s="8" t="str">
        <x:v>h the development plan for the area in question. Open Spaces Around Buildings 23. The maximum plot coverage permissible on any site for any of the purposes specified in Form “E” of Schedule (III) shall be as in conformity with the requirements specified therein. 24. (1) There shall be in the rear of every building and belonging exclusively to it an open space of not less than three (3) metres extending along the entire width of the building unless the rear of the building abuts on to a public street not less than six (6) metres in width; Provided, that where the building consists of a ground floor and the first floor only and no further storeys are proposed to be added the width of such rear open space may be reduced to 2.25 metres.</x:v>
      </x:c>
      <x:c r="G186" s="8" t="str">
        <x:v>candidate_unreviewed</x:v>
      </x:c>
      <x:c r="H186" s="21" t="b">
        <x:v>0</x:v>
      </x:c>
      <x:c r="I186" s="8" t="str">
        <x:v>Keyword extraction only. Read page image and full context before promoting. English search cannot exclude Sinhala/Tamil or image-only content.</x:v>
      </x:c>
    </x:row>
    <x:row r="187" ht="224" customHeight="1">
      <x:c r="A187" s="11" t="str">
        <x:v>C00186</x:v>
      </x:c>
      <x:c r="B187" s="11" t="str">
        <x:v>SRC_0033</x:v>
      </x:c>
      <x:c r="C187" s="11" t="str">
        <x:v>Kalutara(1).zip::Kalutara/Kalutara_2.pdf</x:v>
      </x:c>
      <x:c r="D187" s="22" t="n">
        <x:v>13</x:v>
      </x:c>
      <x:c r="E187" s="11" t="str">
        <x:v>minimum width</x:v>
      </x:c>
      <x:c r="F187" s="11" t="str">
        <x:v>(2) The dimension of car parking stalls shall be as specified in Form B of Schedule II. (3) The minimum width of aisles shall conform to the requirements specified in form “C” of Schedule (II). (4) The width of access to car parking are shall not be less than 3 metres clear of footways and other obstructions if entry and exit are separately provided and 5.5 metres if entry and exit are provided together. (5) The maximum gradient of ramps shall not be steeper than 1 in 8. (6) Every such ramp shall start only beyond a distance of 6.0 metres from the street edge. (7) Where the owner cannot provide the required number of parking spaces on the site or the Authority is of opinion that satisfactory car parking cannot be provided on the si</x:v>
      </x:c>
      <x:c r="G187" s="11" t="str">
        <x:v>candidate_unreviewed</x:v>
      </x:c>
      <x:c r="H187" s="24" t="b">
        <x:v>0</x:v>
      </x:c>
      <x:c r="I187" s="11" t="str">
        <x:v>Keyword extraction only. Read page image and full context before promoting. English search cannot exclude Sinhala/Tamil or image-only content.</x:v>
      </x:c>
    </x:row>
    <x:row r="188" ht="644" customHeight="1">
      <x:c r="A188" s="8" t="str">
        <x:v>C00187</x:v>
      </x:c>
      <x:c r="B188" s="8" t="str">
        <x:v>SRC_0033</x:v>
      </x:c>
      <x:c r="C188" s="8" t="str">
        <x:v>Kalutara(1).zip::Kalutara/Kalutara_2.pdf</x:v>
      </x:c>
      <x:c r="D188" s="18" t="n">
        <x:v>18</x:v>
      </x:c>
      <x:c r="E188" s="8" t="str">
        <x:v>bathroom, minimum width, staircase</x:v>
      </x:c>
      <x:c r="F188" s="8" t="str">
        <x:v>than the minimum specified in Form (F) of Schedule (III). 38. The internal clear dimensions of bathrooms and toilets shall not be less than the minimum specified in Form “G” of Schedule (III). 39. (1) Storage rooms not requiring legal ventilation shall not have an area in excess of 2.25 square metres nor have its width or length exceeding 1.5 metres. (2) The aggregate area of all storage rooms of the dimensions specified above shall not exceed 5% of the floor area of the building. 40. The minimum height of rooms shall be : (1) For toilets, bathrooms and corridors, not less than 2.1 metres. (2) For all other rooms in any building, not less than 2.7 metres, provided that beams, trusses and similar supporting structures extendin || of the floor area of the building. 40. The minimum height of rooms shall be : (1) For toilets, bathrooms and corridors, not less than 2.1 metres. (2) For all other rooms in any building, not less than 2.7 metres, provided that beams, trusses and similar supporting structures extending beyond the level of the roof shall not be such as to reduce this height below 2.4 metres at any point. (3) In the case of rooms in a building that is Air Conditioned through a central air conditioning system 2.4 metres. 41. In the case of rooms with sloping roof the heights shall not be less than those mentioned in Regulations 40 at the mid point of the slope of the roof and in no part of the room shall the height be less than 2.1 metres. Staircase || t of the slope of the roof and in no part of the room shall the height be less than 2.1 metres. Staircase 42. (1) The minimum width of stairs and the minimum dimensions of treads and risers shall be as specified in From “H” of Schedule (III). In the case of circular or geometric stairs the widths of the treads measuring at the middle shall not be less than the widths specified in Form “H” of Schedule (III). Riser height and tread width shall be constant in any flight of stairs from storey to storey. (2) (a) There shall be no obstruction in any staircase between the top most landing and the exit door on the ground floor. (b) Every staircase, staircase landing, balcony or varandah shall be protected on any side </x:v>
      </x:c>
      <x:c r="G188" s="8" t="str">
        <x:v>candidate_unreviewed</x:v>
      </x:c>
      <x:c r="H188" s="21" t="b">
        <x:v>0</x:v>
      </x:c>
      <x:c r="I188" s="8" t="str">
        <x:v>Keyword extraction only. Read page image and full context before promoting. English search cannot exclude Sinhala/Tamil or image-only content.</x:v>
      </x:c>
    </x:row>
    <x:row r="189" ht="630" customHeight="1">
      <x:c r="A189" s="11" t="str">
        <x:v>C00188</x:v>
      </x:c>
      <x:c r="B189" s="11" t="str">
        <x:v>SRC_0033</x:v>
      </x:c>
      <x:c r="C189" s="11" t="str">
        <x:v>Kalutara(1).zip::Kalutara/Kalutara_2.pdf</x:v>
      </x:c>
      <x:c r="D189" s="22" t="n">
        <x:v>19</x:v>
      </x:c>
      <x:c r="E189" s="11" t="str">
        <x:v>light and ventilation, staircase</x:v>
      </x:c>
      <x:c r="F189" s="11" t="str">
        <x:v>19 prevent any person from falling over the side of such staircase, staircase landing balcony or varandah. Lighting And Ventilation 43. Every room in a building shall be provided with natural light and ventilation by means of windows, doors or any other approved openings. Every such room of a building to be lighted and ventilated shall have windows and opening through which natural light and ventilation can be obtained, so located that they face and open upon, (a) A public street or a street on which the owner or the building has a right of way; (b) A courtyard or open space located in the building site. 44. (1) In the case of rooms other than warehouses and factories no part of the ro || 19 prevent any person from falling over the side of such staircase, staircase landing balcony or varandah. Lighting And Ventilation 43. Every room in a building shall be provided with natural light and ventilation by means of windows, doors or any other approved openings. Every such room of a building to be lighted and ventilated shall have windows and opening through which natural light and ventilation can be obtained, so located that they face and open upon, (a) A public street or a street on which the owner or the building has a right of way; (b) A courtyard or open space located in the building site. 44. (1) In the case of rooms other than warehouses and factories no part of the room served || arandah. Lighting And Ventilation 43. Every room in a building shall be provided with natural light and ventilation by means of windows, doors or any other approved openings. Every such room of a building to be lighted and ventilated shall have windows and opening through which natural light and ventilation can be obtained, so located that they face and open upon, (a) A public street or a street on which the owner or the building has a right of way; (b) A courtyard or open space located in the building site. 44. (1) In the case of rooms other than warehouses and factories no part of the room served by such lighting and ventilation openings shall be more than 10 metres away from such opening in a direction perpendicular to the plane of th</x:v>
      </x:c>
      <x:c r="G189" s="11" t="str">
        <x:v>candidate_unreviewed</x:v>
      </x:c>
      <x:c r="H189" s="24" t="b">
        <x:v>0</x:v>
      </x:c>
      <x:c r="I189" s="11" t="str">
        <x:v>Keyword extraction only. Read page image and full context before promoting. English search cannot exclude Sinhala/Tamil or image-only content.</x:v>
      </x:c>
    </x:row>
    <x:row r="190" ht="518" customHeight="1">
      <x:c r="A190" s="8" t="str">
        <x:v>C00189</x:v>
      </x:c>
      <x:c r="B190" s="8" t="str">
        <x:v>SRC_0033</x:v>
      </x:c>
      <x:c r="C190" s="8" t="str">
        <x:v>Kalutara(1).zip::Kalutara/Kalutara_2.pdf</x:v>
      </x:c>
      <x:c r="D190" s="18" t="n">
        <x:v>20</x:v>
      </x:c>
      <x:c r="E190" s="8" t="str">
        <x:v>bathroom, light and ventilation</x:v>
      </x:c>
      <x:c r="F190" s="8" t="str">
        <x:v>ides of the room as openings to allow for cross ventilation. 47. For the purpose of determining light and ventilation requirements, any room may be considered as a portion of an adjoining room when one half of the area of the common wall is open and unobstructed. 48. There shall also be provided in the case of buildings without openings on the sides of a depth greater than 12 metres, permanent ventilation from front to rear by suitable vents in all front, back and cross walls at each floor. 49. (1) Every window or other opening except for toilets and bathrooms must open to a standard light plane and the whole space above such plane must be open to the sky and free from any obstruction other than eaves of sunshades projecting to an extent of n || ack and cross walls at each floor. 49. (1) Every window or other opening except for toilets and bathrooms must open to a standard light plane and the whole space above such plane must be open to the sky and free from any obstruction other than eaves of sunshades projecting to an extent of not more than 10 metre. (For the purpose of this regulation “standard light plane” means a plane drawn upwards and outwards from the exterior face of the building at the lowest floor level of the room and not being a basement floor for car parking or for a air conditioning plant or other service machinery only at an angle of 63 ½ degrees to the horizontal and not impinging on any building wall or other obstruction.) In any case in which there is || e exclusively attached to the building or be dedicated to public use. (3) In case of toilets and bathrooms the standard light plane may be relaxed by the Authority provided a minimum unobstructed width of open space of one metre is available within the premises abutting the opening.</x:v>
      </x:c>
      <x:c r="G190" s="8" t="str">
        <x:v>candidate_unreviewed</x:v>
      </x:c>
      <x:c r="H190" s="21" t="b">
        <x:v>0</x:v>
      </x:c>
      <x:c r="I190" s="8" t="str">
        <x:v>Keyword extraction only. Read page image and full context before promoting. English search cannot exclude Sinhala/Tamil or image-only content.</x:v>
      </x:c>
    </x:row>
    <x:row r="191" ht="448" customHeight="1">
      <x:c r="A191" s="11" t="str">
        <x:v>C00190</x:v>
      </x:c>
      <x:c r="B191" s="11" t="str">
        <x:v>SRC_0033</x:v>
      </x:c>
      <x:c r="C191" s="11" t="str">
        <x:v>Kalutara(1).zip::Kalutara/Kalutara_2.pdf</x:v>
      </x:c>
      <x:c r="D191" s="22" t="n">
        <x:v>21</x:v>
      </x:c>
      <x:c r="E191" s="11" t="str">
        <x:v>bathroom, light and ventilation</x:v>
      </x:c>
      <x:c r="F191" s="11" t="str">
        <x:v>oning plant is necessary for the building, the provisions of these regulations relating to natural light and ventilation and the height of rooms may be so modified in accordance with the prevailing circumstances so that the ventilation and lighting system will be designed and maintained according to the conditions laid down by it while granting of the development permit, under section 8J of the Law and a stand by generator of such capacity as specified by the Authority will be installed and operated at times of interruption of the public electric supply; and (2) Where windows or other openings of water closets and bathrooms cannot open out on to an exterior or interior open space of the required width they may open out on to a ventilation shaft the || ion of the public electric supply; and (2) Where windows or other openings of water closets and bathrooms cannot open out on to an exterior or interior open space of the required width they may open out on to a ventilation shaft the size of which shall in the case of buildings up to a height of 15 metres be not less than 1 square metre with the minimum dimension 1 metre of any side and in the case of buildings exceeding 15 metres in height not less than 3 square metres with the minimum dimensions of any side being not less than 1.5 metres. Provided that, in the case of buildings of more than two storeys the water closets and baths shall be mechanically ventilated with exhaust fans of appropriate capacities placed both in the window</x:v>
      </x:c>
      <x:c r="G191" s="11" t="str">
        <x:v>candidate_unreviewed</x:v>
      </x:c>
      <x:c r="H191" s="24" t="b">
        <x:v>0</x:v>
      </x:c>
      <x:c r="I191" s="11" t="str">
        <x:v>Keyword extraction only. Read page image and full context before promoting. English search cannot exclude Sinhala/Tamil or image-only content.</x:v>
      </x:c>
    </x:row>
    <x:row r="192" ht="224" customHeight="1">
      <x:c r="A192" s="8" t="str">
        <x:v>C00191</x:v>
      </x:c>
      <x:c r="B192" s="8" t="str">
        <x:v>SRC_0033</x:v>
      </x:c>
      <x:c r="C192" s="8" t="str">
        <x:v>Kalutara(1).zip::Kalutara/Kalutara_2.pdf</x:v>
      </x:c>
      <x:c r="D192" s="18" t="n">
        <x:v>27</x:v>
      </x:c>
      <x:c r="E192" s="8" t="str">
        <x:v>staircase</x:v>
      </x:c>
      <x:c r="F192" s="8" t="str">
        <x:v>level exceeds 12.0 meters excluding a lift or motor room not exceeding 56 sq. meters in extent or staircase room not exceeding a height of 3 meters and not exceeding 25 sq. meters in extent or a water tank not exceeding a height of 1.5 m. means a building exclusively consisting of one dwelling unit or a number of dwelling units means the line up to which a building will be permitted to extend. includes erection or re-erection of a building or making additions or alterations to an existing building. means the Chairman of the Urban Development Authority means a building or a part of a building consisting of a room or group of rooms forming a self contained living unit with independent sleeping, cooking and sanitary facilities.</x:v>
      </x:c>
      <x:c r="G192" s="8" t="str">
        <x:v>candidate_unreviewed</x:v>
      </x:c>
      <x:c r="H192" s="21" t="b">
        <x:v>0</x:v>
      </x:c>
      <x:c r="I192" s="8" t="str">
        <x:v>Keyword extraction only. Read page image and full context before promoting. English search cannot exclude Sinhala/Tamil or image-only content.</x:v>
      </x:c>
    </x:row>
    <x:row r="193" ht="210" customHeight="1">
      <x:c r="A193" s="11" t="str">
        <x:v>C00192</x:v>
      </x:c>
      <x:c r="B193" s="11" t="str">
        <x:v>SRC_0034</x:v>
      </x:c>
      <x:c r="C193" s="11" t="str">
        <x:v>Kalutara(1).zip::Kalutara/Kalutara_Schedules.pdf</x:v>
      </x:c>
      <x:c r="D193" s="22" t="n">
        <x:v>16</x:v>
      </x:c>
      <x:c r="E193" s="11" t="str">
        <x:v>plot coverage</x:v>
      </x:c>
      <x:c r="F193" s="11" t="str">
        <x:v>o F.A.R. Gross floor area of all buildings -------------------------------------- Site Area Plot Coverage Floor area at ground level x 100 -------------------------------------- Site Area (d) Basement (i) Extent : (ii) Ground Coverage : (e) Details of floor space (square metres) Residential : Retail Commerce : Wholesale Commerce : Office : Restaurant : Factory or Workshop : Warehouse : Others (specify) : Total : (f) Parking spaces provided : Cars : Others (specify) : 7. Details of site sub division Square Metres % total area (a) Land use : Residential : Commercial : Industrial : Institutional : Open spaces, parks and play fields : Roads Others</x:v>
      </x:c>
      <x:c r="G193" s="11" t="str">
        <x:v>candidate_unreviewed</x:v>
      </x:c>
      <x:c r="H193" s="24" t="b">
        <x:v>0</x:v>
      </x:c>
      <x:c r="I193" s="11" t="str">
        <x:v>Keyword extraction only. Read page image and full context before promoting. English search cannot exclude Sinhala/Tamil or image-only content.</x:v>
      </x:c>
    </x:row>
    <x:row r="194" ht="434" customHeight="1">
      <x:c r="A194" s="8" t="str">
        <x:v>C00193</x:v>
      </x:c>
      <x:c r="B194" s="8" t="str">
        <x:v>SRC_0034</x:v>
      </x:c>
      <x:c r="C194" s="8" t="str">
        <x:v>Kalutara(1).zip::Kalutara/Kalutara_Schedules.pdf</x:v>
      </x:c>
      <x:c r="D194" s="18" t="n">
        <x:v>21</x:v>
      </x:c>
      <x:c r="E194" s="8" t="str">
        <x:v>minimum width</x:v>
      </x:c>
      <x:c r="F194" s="8" t="str">
        <x:v>II (Regulation 14) FORM "A" ACCESS TO RESIDENTIAL UNITS 1 No. of Dwelling Units Served 2 Minimum Width (Metres) 3 Maximum length (Metres) Under 4 dwelling units More than 4 but not more than 8 dwelling units More than 8 but not more than 20 dwelling units More than 20 dwelling units 3.0 4.5 6.0 9.0 50 100 -- -- SCHEDULE III FORM "B" (Regulation 14) ACESS TO NONRESIDENTIAL BUILDINGS Maximum Extent of Land Served (sq.metres) Maximum FAR on each site Minimum Width of Street (Metres) Maximum length of Street (Metres) 500 Where the street serves more than 1 lot or site but not more than four lots. (i) 2500 Where the street serves only one lot or site. (ii) 1.5 || NONRESIDENTIAL BUILDINGS Maximum Extent of Land Served (sq.metres) Maximum FAR on each site Minimum Width of Street (Metres) Maximum length of Street (Metres) 500 Where the street serves more than 1 lot or site but not more than four lots. (i) 2500 Where the street serves only one lot or site. (ii) 1.5 1.5 6.0 6.0 50 150 SCHEDULE III FORM "C" (Regulation 15) SPECIFICATION AS TO LOTS Character of Building 1 Minimum Site Area (Square Metres) 2 Minimum Width of Site (Metres) 3 All buildings except those included below Public Assembly Buildings and Public Buildings 150 300 6 12 || n 15) SPECIFICATION AS TO LOTS Character of Building 1 Minimum Site Area (Square Metres) 2 Minimum Width of Site (Metres) 3 All buildings except those included below Public Assembly Buildings and Public Buildings 150 300 6 12</x:v>
      </x:c>
      <x:c r="G194" s="8" t="str">
        <x:v>candidate_unreviewed</x:v>
      </x:c>
      <x:c r="H194" s="21" t="b">
        <x:v>0</x:v>
      </x:c>
      <x:c r="I194" s="8" t="str">
        <x:v>Keyword extraction only. Read page image and full context before promoting. English search cannot exclude Sinhala/Tamil or image-only content.</x:v>
      </x:c>
    </x:row>
    <x:row r="195" ht="196" customHeight="1">
      <x:c r="A195" s="11" t="str">
        <x:v>C00194</x:v>
      </x:c>
      <x:c r="B195" s="11" t="str">
        <x:v>SRC_0034</x:v>
      </x:c>
      <x:c r="C195" s="11" t="str">
        <x:v>Kalutara(1).zip::Kalutara/Kalutara_Schedules.pdf</x:v>
      </x:c>
      <x:c r="D195" s="22" t="n">
        <x:v>25</x:v>
      </x:c>
      <x:c r="E195" s="11" t="str">
        <x:v>plot coverage</x:v>
      </x:c>
      <x:c r="F195" s="11" t="str">
        <x:v>SCHEDULE III (Regulation 23) Form “E” Maximum Plots Coverage Nature of Building Maximum Plot Coverage (Percent %) Minimum Open Space at Ground Level (%) 1. Residential units, Hotels, Hostels, Guest Houses and buildings of Public Assembly. 2. Office, Shops, Commercial and Industrial Building. 3. 66 2/3 80 33 1/3 20 SCHEDULE III (Regulation 37) FORM “F” INTERNAL CLEAR DIMENSIONS OF ROOMS Room Minimum Extent Sq. Metres Minimum Length Metres Minimum Width Metres (i) Where there is only one room in a dwelling unit. (ii)Where there are more than one room in a dwelling unit (a) first room (b) additional rooms (iii) Rooms in non residen</x:v>
      </x:c>
      <x:c r="G195" s="11" t="str">
        <x:v>candidate_unreviewed</x:v>
      </x:c>
      <x:c r="H195" s="24" t="b">
        <x:v>0</x:v>
      </x:c>
      <x:c r="I195" s="11" t="str">
        <x:v>Keyword extraction only. Read page image and full context before promoting. English search cannot exclude Sinhala/Tamil or image-only content.</x:v>
      </x:c>
    </x:row>
    <x:row r="196" ht="490" customHeight="1">
      <x:c r="A196" s="8" t="str">
        <x:v>C00195</x:v>
      </x:c>
      <x:c r="B196" s="8" t="str">
        <x:v>SRC_0034</x:v>
      </x:c>
      <x:c r="C196" s="8" t="str">
        <x:v>Kalutara(1).zip::Kalutara/Kalutara_Schedules.pdf</x:v>
      </x:c>
      <x:c r="D196" s="18" t="n">
        <x:v>26</x:v>
      </x:c>
      <x:c r="E196" s="8" t="str">
        <x:v>bathroom, minimum width, stair case</x:v>
      </x:c>
      <x:c r="F196" s="8" t="str">
        <x:v>SCHEDULE III (Regulation 38) FORM “G” INTERNAL CLEAR DIMENSIONS OF BATHROOMS AND TOILETS Room Minimum Width Metres Minimum Length Metres Bath Toilet Combined Bath and Toilet 1.5 1.2 1.5 1.2 1.2 1.7 SCHEDULE III (Regulation 42) FORM “H” STAIR CASES Type Width of Stairs Centi Metres Minimum Head Room Riser Centi Metres Tread Centi Metres (a) Internal stairs serving one upper floor only (b) Stairs in building used as place of public assembly and public buildings. (c) All other types 75 105 90 2.0 2.1 2.1 19 17.5 17.5 22.5 22.5 22.5 || EDULE III (Regulation 38) FORM “G” INTERNAL CLEAR DIMENSIONS OF BATHROOMS AND TOILETS Room Minimum Width Metres Minimum Length Metres Bath Toilet Combined Bath and Toilet 1.5 1.2 1.5 1.2 1.2 1.7 SCHEDULE III (Regulation 42) FORM “H” STAIR CASES Type Width of Stairs Centi Metres Minimum Head Room Riser Centi Metres Tread Centi Metres (a) Internal stairs serving one upper floor only (b) Stairs in building used as place of public assembly and public buildings. (c) All other types 75 105 90 2.0 2.1 2.1 19 17.5 17.5 22.5 22.5 22.5 SCHEDUEL III (Regulation 46) || ombined Bath and Toilet 1.5 1.2 1.5 1.2 1.2 1.7 SCHEDULE III (Regulation 42) FORM “H” STAIR CASES Type Width of Stairs Centi Metres Minimum Head Room Riser Centi Metres Tread Centi Metres (a) Internal stairs serving one upper floor only (b) Stairs in building used as place of public assembly and public buildings. (c) All other types 75 105 90 2.0 2.1 2.1 19 17.5 17.5 22.5 22.5 22.5 SCHEDUEL III (Regulation 46) FORM "I" AGGREGATE CONSTRUCTED AREA OF OPENINGS Column 1 Category Column II Aggregate unobstructed area of opening for natural Lightning and Ventil</x:v>
      </x:c>
      <x:c r="G196" s="8" t="str">
        <x:v>candidate_unreviewed</x:v>
      </x:c>
      <x:c r="H196" s="21" t="b">
        <x:v>0</x:v>
      </x:c>
      <x:c r="I196" s="8" t="str">
        <x:v>Keyword extraction only. Read page image and full context before promoting. English search cannot exclude Sinhala/Tamil or image-only content.</x:v>
      </x:c>
    </x:row>
    <x:row r="197" ht="84" customHeight="1">
      <x:c r="A197" s="11" t="str">
        <x:v>C00196</x:v>
      </x:c>
      <x:c r="B197" s="11" t="str">
        <x:v>SRC_0034</x:v>
      </x:c>
      <x:c r="C197" s="11" t="str">
        <x:v>Kalutara(1).zip::Kalutara/Kalutara_Schedules.pdf</x:v>
      </x:c>
      <x:c r="D197" s="22" t="n">
        <x:v>30</x:v>
      </x:c>
      <x:c r="E197" s="11" t="str">
        <x:v>minimum width</x:v>
      </x:c>
      <x:c r="F197" s="11" t="str">
        <x:v>Parking Area  When a parking area is provided, one or more parking spaces for wheelchair users (minimum width : 35 cm) shall be provided.  The said space shall be located close to the entrance/exit of the parking area.</x:v>
      </x:c>
      <x:c r="G197" s="11" t="str">
        <x:v>candidate_unreviewed</x:v>
      </x:c>
      <x:c r="H197" s="24" t="b">
        <x:v>0</x:v>
      </x:c>
      <x:c r="I197" s="11" t="str">
        <x:v>Keyword extraction only. Read page image and full context before promoting. English search cannot exclude Sinhala/Tamil or image-only content.</x:v>
      </x:c>
    </x:row>
    <x:row r="198" ht="644" customHeight="1">
      <x:c r="A198" s="8" t="str">
        <x:v>C00197</x:v>
      </x:c>
      <x:c r="B198" s="8" t="str">
        <x:v>SRC_0036</x:v>
      </x:c>
      <x:c r="C198" s="8" t="str">
        <x:v>Kalutara.zip::Kalutara/Kalutara_2.pdf</x:v>
      </x:c>
      <x:c r="D198" s="18" t="n">
        <x:v>7</x:v>
      </x:c>
      <x:c r="E198" s="8" t="str">
        <x:v>minimum width</x:v>
      </x:c>
      <x:c r="F198" s="8" t="str">
        <x:v>ess requirements for a dwelling house as stipulated in Schedule (III) are to be complied with, the minimum width or access may be reduced by not more than 2 metres on the recommendations of the Head of the Local Authority and in consultation with the Planning Committee subject to the following :- (i) A minimum width of 3 metres is available for access. (ii) This reduction will not apply in case of a new sub division. (iii) The area has a semi urban character. (3) Every such street shall connect on to a public street which is not less than nine (9.0) metres in width or a private street of which the owner of such private street has a right of way which connects on to a public street which is not less than nine (9.0) metres in width || Authority and in consultation with the Planning Committee subject to the following :- (i) A minimum width of 3 metres is available for access. (ii) This reduction will not apply in case of a new sub division. (iii) The area has a semi urban character. (3) Every such street shall connect on to a public street which is not less than nine (9.0) metres in width or a private street of which the owner of such private street has a right of way which connects on to a public street which is not less than nine (9.0) metres in width. (4) Every street which is less than nine (9.0) metres in with and exceeds thirty metres in length, shall be provided with a turning circle of not less than nine (9.0) metres in diameter at the dead end. || res in diameter at the dead end. Specification As To Lots 15. (1) The minimum extent and the minimum width of lots for different classes of buildings, not being high rise buildings, should be in conformity with the specification set out in Form “C” of Schedule (III) unless the Authority has stipulated a higher or lower minimum extent and/or higher or lower width of lots in a Development Plan already approved for the area or proposed for the area. (2) Every lot or site which abuts on to the end of dead end street may have a frontage less than the width in Form “C” of Schedule (III), but have a frontage which is not less than 3.0 metres wide perpendicular to the line of the street. (3) The Authority may relax the r</x:v>
      </x:c>
      <x:c r="G198" s="8" t="str">
        <x:v>candidate_unreviewed</x:v>
      </x:c>
      <x:c r="H198" s="21" t="b">
        <x:v>0</x:v>
      </x:c>
      <x:c r="I198" s="8" t="str">
        <x:v>Keyword extraction only. Read page image and full context before promoting. English search cannot exclude Sinhala/Tamil or image-only content.</x:v>
      </x:c>
    </x:row>
    <x:row r="199" ht="224" customHeight="1">
      <x:c r="A199" s="11" t="str">
        <x:v>C00198</x:v>
      </x:c>
      <x:c r="B199" s="11" t="str">
        <x:v>SRC_0036</x:v>
      </x:c>
      <x:c r="C199" s="11" t="str">
        <x:v>Kalutara.zip::Kalutara/Kalutara_2.pdf</x:v>
      </x:c>
      <x:c r="D199" s="22" t="n">
        <x:v>8</x:v>
      </x:c>
      <x:c r="E199" s="11" t="str">
        <x:v>staircase</x:v>
      </x:c>
      <x:c r="F199" s="11" t="str">
        <x:v>xceeding a height of six (6) metres and not exceeding fifty five (55) square metres in extent or a staircase room not exceeding a height of 5 metres and not exceeding 25 square metres in extent or a water tank not exceeding a height of 1.5 metres shall be ignored. Street Lines And Building Lines 17. (1) Where no street lines have been determined for any street under any act or regulations the authority may determine a street line for such street taking into account the existing and proposed character of development and the nature and volume of traffic anticipated in such street. (2) The building line for every lot on the side abutting the street shall be in conformity with the specifications and categories set out in Form “D” of</x:v>
      </x:c>
      <x:c r="G199" s="11" t="str">
        <x:v>candidate_unreviewed</x:v>
      </x:c>
      <x:c r="H199" s="24" t="b">
        <x:v>0</x:v>
      </x:c>
      <x:c r="I199" s="11" t="str">
        <x:v>Keyword extraction only. Read page image and full context before promoting. English search cannot exclude Sinhala/Tamil or image-only content.</x:v>
      </x:c>
    </x:row>
    <x:row r="200" ht="224" customHeight="1">
      <x:c r="A200" s="8" t="str">
        <x:v>C00199</x:v>
      </x:c>
      <x:c r="B200" s="8" t="str">
        <x:v>SRC_0036</x:v>
      </x:c>
      <x:c r="C200" s="8" t="str">
        <x:v>Kalutara.zip::Kalutara/Kalutara_2.pdf</x:v>
      </x:c>
      <x:c r="D200" s="18" t="n">
        <x:v>9</x:v>
      </x:c>
      <x:c r="E200" s="8" t="str">
        <x:v>minimum width</x:v>
      </x:c>
      <x:c r="F200" s="8" t="str">
        <x:v>roposed public street or a street in accordance with the provisions of regulation 18. (2) The minimum width of a carriageway reservation for the streets shall be as approved by the Authority but in no case shall be less than 3.6 metres for streets up to 9.0 metres in width and 6.0 metres for streets wider than the 9.0 metres. 20. (1) Where the parcel of land or site to be sub-divided exceeds 1.0 hectare an area of not less than ten percentum of the land or site excluding streets shall be reserved for community recreation and open space uses in appropriate locations except in the following instances :- (a) In commercial and industrial land sub divisions, if the minimum and parcel of the sub division is not less than 2.024 sq.m. (80</x:v>
      </x:c>
      <x:c r="G200" s="8" t="str">
        <x:v>candidate_unreviewed</x:v>
      </x:c>
      <x:c r="H200" s="21" t="b">
        <x:v>0</x:v>
      </x:c>
      <x:c r="I200" s="8" t="str">
        <x:v>Keyword extraction only. Read page image and full context before promoting. English search cannot exclude Sinhala/Tamil or image-only content.</x:v>
      </x:c>
    </x:row>
    <x:row r="201" ht="224" customHeight="1">
      <x:c r="A201" s="11" t="str">
        <x:v>C00200</x:v>
      </x:c>
      <x:c r="B201" s="11" t="str">
        <x:v>SRC_0036</x:v>
      </x:c>
      <x:c r="C201" s="11" t="str">
        <x:v>Kalutara.zip::Kalutara/Kalutara_2.pdf</x:v>
      </x:c>
      <x:c r="D201" s="22" t="n">
        <x:v>11</x:v>
      </x:c>
      <x:c r="E201" s="11" t="str">
        <x:v>plot coverage</x:v>
      </x:c>
      <x:c r="F201" s="11" t="str">
        <x:v>h the development plan for the area in question. Open Spaces Around Buildings 23. The maximum plot coverage permissible on any site for any of the purposes specified in Form “E” of Schedule (III) shall be as in conformity with the requirements specified therein. 24. (1) There shall be in the rear of every building and belonging exclusively to it an open space of not less than three (3) metres extending along the entire width of the building unless the rear of the building abuts on to a public street not less than six (6) metres in width; Provided, that where the building consists of a ground floor and the first floor only and no further storeys are proposed to be added the width of such rear open space may be reduced to 2.25 metres.</x:v>
      </x:c>
      <x:c r="G201" s="11" t="str">
        <x:v>candidate_unreviewed</x:v>
      </x:c>
      <x:c r="H201" s="24" t="b">
        <x:v>0</x:v>
      </x:c>
      <x:c r="I201" s="11" t="str">
        <x:v>Keyword extraction only. Read page image and full context before promoting. English search cannot exclude Sinhala/Tamil or image-only content.</x:v>
      </x:c>
    </x:row>
    <x:row r="202" ht="224" customHeight="1">
      <x:c r="A202" s="8" t="str">
        <x:v>C00201</x:v>
      </x:c>
      <x:c r="B202" s="8" t="str">
        <x:v>SRC_0036</x:v>
      </x:c>
      <x:c r="C202" s="8" t="str">
        <x:v>Kalutara.zip::Kalutara/Kalutara_2.pdf</x:v>
      </x:c>
      <x:c r="D202" s="18" t="n">
        <x:v>13</x:v>
      </x:c>
      <x:c r="E202" s="8" t="str">
        <x:v>minimum width</x:v>
      </x:c>
      <x:c r="F202" s="8" t="str">
        <x:v>(2) The dimension of car parking stalls shall be as specified in Form B of Schedule II. (3) The minimum width of aisles shall conform to the requirements specified in form “C” of Schedule (II). (4) The width of access to car parking are shall not be less than 3 metres clear of footways and other obstructions if entry and exit are separately provided and 5.5 metres if entry and exit are provided together. (5) The maximum gradient of ramps shall not be steeper than 1 in 8. (6) Every such ramp shall start only beyond a distance of 6.0 metres from the street edge. (7) Where the owner cannot provide the required number of parking spaces on the site or the Authority is of opinion that satisfactory car parking cannot be provided on the si</x:v>
      </x:c>
      <x:c r="G202" s="8" t="str">
        <x:v>candidate_unreviewed</x:v>
      </x:c>
      <x:c r="H202" s="21" t="b">
        <x:v>0</x:v>
      </x:c>
      <x:c r="I202" s="8" t="str">
        <x:v>Keyword extraction only. Read page image and full context before promoting. English search cannot exclude Sinhala/Tamil or image-only content.</x:v>
      </x:c>
    </x:row>
    <x:row r="203" ht="644" customHeight="1">
      <x:c r="A203" s="11" t="str">
        <x:v>C00202</x:v>
      </x:c>
      <x:c r="B203" s="11" t="str">
        <x:v>SRC_0036</x:v>
      </x:c>
      <x:c r="C203" s="11" t="str">
        <x:v>Kalutara.zip::Kalutara/Kalutara_2.pdf</x:v>
      </x:c>
      <x:c r="D203" s="22" t="n">
        <x:v>18</x:v>
      </x:c>
      <x:c r="E203" s="11" t="str">
        <x:v>bathroom, minimum width, staircase</x:v>
      </x:c>
      <x:c r="F203" s="11" t="str">
        <x:v>than the minimum specified in Form (F) of Schedule (III). 38. The internal clear dimensions of bathrooms and toilets shall not be less than the minimum specified in Form “G” of Schedule (III). 39. (1) Storage rooms not requiring legal ventilation shall not have an area in excess of 2.25 square metres nor have its width or length exceeding 1.5 metres. (2) The aggregate area of all storage rooms of the dimensions specified above shall not exceed 5% of the floor area of the building. 40. The minimum height of rooms shall be : (1) For toilets, bathrooms and corridors, not less than 2.1 metres. (2) For all other rooms in any building, not less than 2.7 metres, provided that beams, trusses and similar supporting structures extendin || of the floor area of the building. 40. The minimum height of rooms shall be : (1) For toilets, bathrooms and corridors, not less than 2.1 metres. (2) For all other rooms in any building, not less than 2.7 metres, provided that beams, trusses and similar supporting structures extending beyond the level of the roof shall not be such as to reduce this height below 2.4 metres at any point. (3) In the case of rooms in a building that is Air Conditioned through a central air conditioning system 2.4 metres. 41. In the case of rooms with sloping roof the heights shall not be less than those mentioned in Regulations 40 at the mid point of the slope of the roof and in no part of the room shall the height be less than 2.1 metres. Staircase || t of the slope of the roof and in no part of the room shall the height be less than 2.1 metres. Staircase 42. (1) The minimum width of stairs and the minimum dimensions of treads and risers shall be as specified in From “H” of Schedule (III). In the case of circular or geometric stairs the widths of the treads measuring at the middle shall not be less than the widths specified in Form “H” of Schedule (III). Riser height and tread width shall be constant in any flight of stairs from storey to storey. (2) (a) There shall be no obstruction in any staircase between the top most landing and the exit door on the ground floor. (b) Every staircase, staircase landing, balcony or varandah shall be protected on any side </x:v>
      </x:c>
      <x:c r="G203" s="11" t="str">
        <x:v>candidate_unreviewed</x:v>
      </x:c>
      <x:c r="H203" s="24" t="b">
        <x:v>0</x:v>
      </x:c>
      <x:c r="I203" s="11" t="str">
        <x:v>Keyword extraction only. Read page image and full context before promoting. English search cannot exclude Sinhala/Tamil or image-only content.</x:v>
      </x:c>
    </x:row>
    <x:row r="204" ht="630" customHeight="1">
      <x:c r="A204" s="8" t="str">
        <x:v>C00203</x:v>
      </x:c>
      <x:c r="B204" s="8" t="str">
        <x:v>SRC_0036</x:v>
      </x:c>
      <x:c r="C204" s="8" t="str">
        <x:v>Kalutara.zip::Kalutara/Kalutara_2.pdf</x:v>
      </x:c>
      <x:c r="D204" s="18" t="n">
        <x:v>19</x:v>
      </x:c>
      <x:c r="E204" s="8" t="str">
        <x:v>light and ventilation, staircase</x:v>
      </x:c>
      <x:c r="F204" s="8" t="str">
        <x:v>19 prevent any person from falling over the side of such staircase, staircase landing balcony or varandah. Lighting And Ventilation 43. Every room in a building shall be provided with natural light and ventilation by means of windows, doors or any other approved openings. Every such room of a building to be lighted and ventilated shall have windows and opening through which natural light and ventilation can be obtained, so located that they face and open upon, (a) A public street or a street on which the owner or the building has a right of way; (b) A courtyard or open space located in the building site. 44. (1) In the case of rooms other than warehouses and factories no part of the ro || 19 prevent any person from falling over the side of such staircase, staircase landing balcony or varandah. Lighting And Ventilation 43. Every room in a building shall be provided with natural light and ventilation by means of windows, doors or any other approved openings. Every such room of a building to be lighted and ventilated shall have windows and opening through which natural light and ventilation can be obtained, so located that they face and open upon, (a) A public street or a street on which the owner or the building has a right of way; (b) A courtyard or open space located in the building site. 44. (1) In the case of rooms other than warehouses and factories no part of the room served || arandah. Lighting And Ventilation 43. Every room in a building shall be provided with natural light and ventilation by means of windows, doors or any other approved openings. Every such room of a building to be lighted and ventilated shall have windows and opening through which natural light and ventilation can be obtained, so located that they face and open upon, (a) A public street or a street on which the owner or the building has a right of way; (b) A courtyard or open space located in the building site. 44. (1) In the case of rooms other than warehouses and factories no part of the room served by such lighting and ventilation openings shall be more than 10 metres away from such opening in a direction perpendicular to the plane of th</x:v>
      </x:c>
      <x:c r="G204" s="8" t="str">
        <x:v>candidate_unreviewed</x:v>
      </x:c>
      <x:c r="H204" s="21" t="b">
        <x:v>0</x:v>
      </x:c>
      <x:c r="I204" s="8" t="str">
        <x:v>Keyword extraction only. Read page image and full context before promoting. English search cannot exclude Sinhala/Tamil or image-only content.</x:v>
      </x:c>
    </x:row>
    <x:row r="205" ht="518" customHeight="1">
      <x:c r="A205" s="11" t="str">
        <x:v>C00204</x:v>
      </x:c>
      <x:c r="B205" s="11" t="str">
        <x:v>SRC_0036</x:v>
      </x:c>
      <x:c r="C205" s="11" t="str">
        <x:v>Kalutara.zip::Kalutara/Kalutara_2.pdf</x:v>
      </x:c>
      <x:c r="D205" s="22" t="n">
        <x:v>20</x:v>
      </x:c>
      <x:c r="E205" s="11" t="str">
        <x:v>bathroom, light and ventilation</x:v>
      </x:c>
      <x:c r="F205" s="11" t="str">
        <x:v>ides of the room as openings to allow for cross ventilation. 47. For the purpose of determining light and ventilation requirements, any room may be considered as a portion of an adjoining room when one half of the area of the common wall is open and unobstructed. 48. There shall also be provided in the case of buildings without openings on the sides of a depth greater than 12 metres, permanent ventilation from front to rear by suitable vents in all front, back and cross walls at each floor. 49. (1) Every window or other opening except for toilets and bathrooms must open to a standard light plane and the whole space above such plane must be open to the sky and free from any obstruction other than eaves of sunshades projecting to an extent of n || ack and cross walls at each floor. 49. (1) Every window or other opening except for toilets and bathrooms must open to a standard light plane and the whole space above such plane must be open to the sky and free from any obstruction other than eaves of sunshades projecting to an extent of not more than 10 metre. (For the purpose of this regulation “standard light plane” means a plane drawn upwards and outwards from the exterior face of the building at the lowest floor level of the room and not being a basement floor for car parking or for a air conditioning plant or other service machinery only at an angle of 63 ½ degrees to the horizontal and not impinging on any building wall or other obstruction.) In any case in which there is || e exclusively attached to the building or be dedicated to public use. (3) In case of toilets and bathrooms the standard light plane may be relaxed by the Authority provided a minimum unobstructed width of open space of one metre is available within the premises abutting the opening.</x:v>
      </x:c>
      <x:c r="G205" s="11" t="str">
        <x:v>candidate_unreviewed</x:v>
      </x:c>
      <x:c r="H205" s="24" t="b">
        <x:v>0</x:v>
      </x:c>
      <x:c r="I205" s="11" t="str">
        <x:v>Keyword extraction only. Read page image and full context before promoting. English search cannot exclude Sinhala/Tamil or image-only content.</x:v>
      </x:c>
    </x:row>
    <x:row r="206" ht="448" customHeight="1">
      <x:c r="A206" s="8" t="str">
        <x:v>C00205</x:v>
      </x:c>
      <x:c r="B206" s="8" t="str">
        <x:v>SRC_0036</x:v>
      </x:c>
      <x:c r="C206" s="8" t="str">
        <x:v>Kalutara.zip::Kalutara/Kalutara_2.pdf</x:v>
      </x:c>
      <x:c r="D206" s="18" t="n">
        <x:v>21</x:v>
      </x:c>
      <x:c r="E206" s="8" t="str">
        <x:v>bathroom, light and ventilation</x:v>
      </x:c>
      <x:c r="F206" s="8" t="str">
        <x:v>oning plant is necessary for the building, the provisions of these regulations relating to natural light and ventilation and the height of rooms may be so modified in accordance with the prevailing circumstances so that the ventilation and lighting system will be designed and maintained according to the conditions laid down by it while granting of the development permit, under section 8J of the Law and a stand by generator of such capacity as specified by the Authority will be installed and operated at times of interruption of the public electric supply; and (2) Where windows or other openings of water closets and bathrooms cannot open out on to an exterior or interior open space of the required width they may open out on to a ventilation shaft the || ion of the public electric supply; and (2) Where windows or other openings of water closets and bathrooms cannot open out on to an exterior or interior open space of the required width they may open out on to a ventilation shaft the size of which shall in the case of buildings up to a height of 15 metres be not less than 1 square metre with the minimum dimension 1 metre of any side and in the case of buildings exceeding 15 metres in height not less than 3 square metres with the minimum dimensions of any side being not less than 1.5 metres. Provided that, in the case of buildings of more than two storeys the water closets and baths shall be mechanically ventilated with exhaust fans of appropriate capacities placed both in the window</x:v>
      </x:c>
      <x:c r="G206" s="8" t="str">
        <x:v>candidate_unreviewed</x:v>
      </x:c>
      <x:c r="H206" s="21" t="b">
        <x:v>0</x:v>
      </x:c>
      <x:c r="I206" s="8" t="str">
        <x:v>Keyword extraction only. Read page image and full context before promoting. English search cannot exclude Sinhala/Tamil or image-only content.</x:v>
      </x:c>
    </x:row>
    <x:row r="207" ht="224" customHeight="1">
      <x:c r="A207" s="11" t="str">
        <x:v>C00206</x:v>
      </x:c>
      <x:c r="B207" s="11" t="str">
        <x:v>SRC_0036</x:v>
      </x:c>
      <x:c r="C207" s="11" t="str">
        <x:v>Kalutara.zip::Kalutara/Kalutara_2.pdf</x:v>
      </x:c>
      <x:c r="D207" s="22" t="n">
        <x:v>27</x:v>
      </x:c>
      <x:c r="E207" s="11" t="str">
        <x:v>staircase</x:v>
      </x:c>
      <x:c r="F207" s="11" t="str">
        <x:v>level exceeds 12.0 meters excluding a lift or motor room not exceeding 56 sq. meters in extent or staircase room not exceeding a height of 3 meters and not exceeding 25 sq. meters in extent or a water tank not exceeding a height of 1.5 m. means a building exclusively consisting of one dwelling unit or a number of dwelling units means the line up to which a building will be permitted to extend. includes erection or re-erection of a building or making additions or alterations to an existing building. means the Chairman of the Urban Development Authority means a building or a part of a building consisting of a room or group of rooms forming a self contained living unit with independent sleeping, cooking and sanitary facilities.</x:v>
      </x:c>
      <x:c r="G207" s="11" t="str">
        <x:v>candidate_unreviewed</x:v>
      </x:c>
      <x:c r="H207" s="24" t="b">
        <x:v>0</x:v>
      </x:c>
      <x:c r="I207" s="11" t="str">
        <x:v>Keyword extraction only. Read page image and full context before promoting. English search cannot exclude Sinhala/Tamil or image-only content.</x:v>
      </x:c>
    </x:row>
    <x:row r="208" ht="210" customHeight="1">
      <x:c r="A208" s="8" t="str">
        <x:v>C00207</x:v>
      </x:c>
      <x:c r="B208" s="8" t="str">
        <x:v>SRC_0037</x:v>
      </x:c>
      <x:c r="C208" s="8" t="str">
        <x:v>Kalutara.zip::Kalutara/Kalutara_Schedules.pdf</x:v>
      </x:c>
      <x:c r="D208" s="18" t="n">
        <x:v>16</x:v>
      </x:c>
      <x:c r="E208" s="8" t="str">
        <x:v>plot coverage</x:v>
      </x:c>
      <x:c r="F208" s="8" t="str">
        <x:v>o F.A.R. Gross floor area of all buildings -------------------------------------- Site Area Plot Coverage Floor area at ground level x 100 -------------------------------------- Site Area (d) Basement (i) Extent : (ii) Ground Coverage : (e) Details of floor space (square metres) Residential : Retail Commerce : Wholesale Commerce : Office : Restaurant : Factory or Workshop : Warehouse : Others (specify) : Total : (f) Parking spaces provided : Cars : Others (specify) : 7. Details of site sub division Square Metres % total area (a) Land use : Residential : Commercial : Industrial : Institutional : Open spaces, parks and play fields : Roads Others</x:v>
      </x:c>
      <x:c r="G208" s="8" t="str">
        <x:v>candidate_unreviewed</x:v>
      </x:c>
      <x:c r="H208" s="21" t="b">
        <x:v>0</x:v>
      </x:c>
      <x:c r="I208" s="8" t="str">
        <x:v>Keyword extraction only. Read page image and full context before promoting. English search cannot exclude Sinhala/Tamil or image-only content.</x:v>
      </x:c>
    </x:row>
    <x:row r="209" ht="434" customHeight="1">
      <x:c r="A209" s="11" t="str">
        <x:v>C00208</x:v>
      </x:c>
      <x:c r="B209" s="11" t="str">
        <x:v>SRC_0037</x:v>
      </x:c>
      <x:c r="C209" s="11" t="str">
        <x:v>Kalutara.zip::Kalutara/Kalutara_Schedules.pdf</x:v>
      </x:c>
      <x:c r="D209" s="22" t="n">
        <x:v>21</x:v>
      </x:c>
      <x:c r="E209" s="11" t="str">
        <x:v>minimum width</x:v>
      </x:c>
      <x:c r="F209" s="11" t="str">
        <x:v>II (Regulation 14) FORM "A" ACCESS TO RESIDENTIAL UNITS 1 No. of Dwelling Units Served 2 Minimum Width (Metres) 3 Maximum length (Metres) Under 4 dwelling units More than 4 but not more than 8 dwelling units More than 8 but not more than 20 dwelling units More than 20 dwelling units 3.0 4.5 6.0 9.0 50 100 -- -- SCHEDULE III FORM "B" (Regulation 14) ACESS TO NONRESIDENTIAL BUILDINGS Maximum Extent of Land Served (sq.metres) Maximum FAR on each site Minimum Width of Street (Metres) Maximum length of Street (Metres) 500 Where the street serves more than 1 lot or site but not more than four lots. (i) 2500 Where the street serves only one lot or site. (ii) 1.5 || NONRESIDENTIAL BUILDINGS Maximum Extent of Land Served (sq.metres) Maximum FAR on each site Minimum Width of Street (Metres) Maximum length of Street (Metres) 500 Where the street serves more than 1 lot or site but not more than four lots. (i) 2500 Where the street serves only one lot or site. (ii) 1.5 1.5 6.0 6.0 50 150 SCHEDULE III FORM "C" (Regulation 15) SPECIFICATION AS TO LOTS Character of Building 1 Minimum Site Area (Square Metres) 2 Minimum Width of Site (Metres) 3 All buildings except those included below Public Assembly Buildings and Public Buildings 150 300 6 12 || n 15) SPECIFICATION AS TO LOTS Character of Building 1 Minimum Site Area (Square Metres) 2 Minimum Width of Site (Metres) 3 All buildings except those included below Public Assembly Buildings and Public Buildings 150 300 6 12</x:v>
      </x:c>
      <x:c r="G209" s="11" t="str">
        <x:v>candidate_unreviewed</x:v>
      </x:c>
      <x:c r="H209" s="24" t="b">
        <x:v>0</x:v>
      </x:c>
      <x:c r="I209" s="11" t="str">
        <x:v>Keyword extraction only. Read page image and full context before promoting. English search cannot exclude Sinhala/Tamil or image-only content.</x:v>
      </x:c>
    </x:row>
    <x:row r="210" ht="196" customHeight="1">
      <x:c r="A210" s="8" t="str">
        <x:v>C00209</x:v>
      </x:c>
      <x:c r="B210" s="8" t="str">
        <x:v>SRC_0037</x:v>
      </x:c>
      <x:c r="C210" s="8" t="str">
        <x:v>Kalutara.zip::Kalutara/Kalutara_Schedules.pdf</x:v>
      </x:c>
      <x:c r="D210" s="18" t="n">
        <x:v>25</x:v>
      </x:c>
      <x:c r="E210" s="8" t="str">
        <x:v>plot coverage</x:v>
      </x:c>
      <x:c r="F210" s="8" t="str">
        <x:v>SCHEDULE III (Regulation 23) Form “E” Maximum Plots Coverage Nature of Building Maximum Plot Coverage (Percent %) Minimum Open Space at Ground Level (%) 1. Residential units, Hotels, Hostels, Guest Houses and buildings of Public Assembly. 2. Office, Shops, Commercial and Industrial Building. 3. 66 2/3 80 33 1/3 20 SCHEDULE III (Regulation 37) FORM “F” INTERNAL CLEAR DIMENSIONS OF ROOMS Room Minimum Extent Sq. Metres Minimum Length Metres Minimum Width Metres (i) Where there is only one room in a dwelling unit. (ii)Where there are more than one room in a dwelling unit (a) first room (b) additional rooms (iii) Rooms in non residen</x:v>
      </x:c>
      <x:c r="G210" s="8" t="str">
        <x:v>candidate_unreviewed</x:v>
      </x:c>
      <x:c r="H210" s="21" t="b">
        <x:v>0</x:v>
      </x:c>
      <x:c r="I210" s="8" t="str">
        <x:v>Keyword extraction only. Read page image and full context before promoting. English search cannot exclude Sinhala/Tamil or image-only content.</x:v>
      </x:c>
    </x:row>
    <x:row r="211" ht="490" customHeight="1">
      <x:c r="A211" s="11" t="str">
        <x:v>C00210</x:v>
      </x:c>
      <x:c r="B211" s="11" t="str">
        <x:v>SRC_0037</x:v>
      </x:c>
      <x:c r="C211" s="11" t="str">
        <x:v>Kalutara.zip::Kalutara/Kalutara_Schedules.pdf</x:v>
      </x:c>
      <x:c r="D211" s="22" t="n">
        <x:v>26</x:v>
      </x:c>
      <x:c r="E211" s="11" t="str">
        <x:v>bathroom, minimum width, stair case</x:v>
      </x:c>
      <x:c r="F211" s="11" t="str">
        <x:v>SCHEDULE III (Regulation 38) FORM “G” INTERNAL CLEAR DIMENSIONS OF BATHROOMS AND TOILETS Room Minimum Width Metres Minimum Length Metres Bath Toilet Combined Bath and Toilet 1.5 1.2 1.5 1.2 1.2 1.7 SCHEDULE III (Regulation 42) FORM “H” STAIR CASES Type Width of Stairs Centi Metres Minimum Head Room Riser Centi Metres Tread Centi Metres (a) Internal stairs serving one upper floor only (b) Stairs in building used as place of public assembly and public buildings. (c) All other types 75 105 90 2.0 2.1 2.1 19 17.5 17.5 22.5 22.5 22.5 || EDULE III (Regulation 38) FORM “G” INTERNAL CLEAR DIMENSIONS OF BATHROOMS AND TOILETS Room Minimum Width Metres Minimum Length Metres Bath Toilet Combined Bath and Toilet 1.5 1.2 1.5 1.2 1.2 1.7 SCHEDULE III (Regulation 42) FORM “H” STAIR CASES Type Width of Stairs Centi Metres Minimum Head Room Riser Centi Metres Tread Centi Metres (a) Internal stairs serving one upper floor only (b) Stairs in building used as place of public assembly and public buildings. (c) All other types 75 105 90 2.0 2.1 2.1 19 17.5 17.5 22.5 22.5 22.5 SCHEDUEL III (Regulation 46) || ombined Bath and Toilet 1.5 1.2 1.5 1.2 1.2 1.7 SCHEDULE III (Regulation 42) FORM “H” STAIR CASES Type Width of Stairs Centi Metres Minimum Head Room Riser Centi Metres Tread Centi Metres (a) Internal stairs serving one upper floor only (b) Stairs in building used as place of public assembly and public buildings. (c) All other types 75 105 90 2.0 2.1 2.1 19 17.5 17.5 22.5 22.5 22.5 SCHEDUEL III (Regulation 46) FORM "I" AGGREGATE CONSTRUCTED AREA OF OPENINGS Column 1 Category Column II Aggregate unobstructed area of opening for natural Lightning and Ventil</x:v>
      </x:c>
      <x:c r="G211" s="11" t="str">
        <x:v>candidate_unreviewed</x:v>
      </x:c>
      <x:c r="H211" s="24" t="b">
        <x:v>0</x:v>
      </x:c>
      <x:c r="I211" s="11" t="str">
        <x:v>Keyword extraction only. Read page image and full context before promoting. English search cannot exclude Sinhala/Tamil or image-only content.</x:v>
      </x:c>
    </x:row>
    <x:row r="212" ht="84" customHeight="1">
      <x:c r="A212" s="8" t="str">
        <x:v>C00211</x:v>
      </x:c>
      <x:c r="B212" s="8" t="str">
        <x:v>SRC_0037</x:v>
      </x:c>
      <x:c r="C212" s="8" t="str">
        <x:v>Kalutara.zip::Kalutara/Kalutara_Schedules.pdf</x:v>
      </x:c>
      <x:c r="D212" s="18" t="n">
        <x:v>30</x:v>
      </x:c>
      <x:c r="E212" s="8" t="str">
        <x:v>minimum width</x:v>
      </x:c>
      <x:c r="F212" s="8" t="str">
        <x:v>Parking Area  When a parking area is provided, one or more parking spaces for wheelchair users (minimum width : 35 cm) shall be provided.  The said space shall be located close to the entrance/exit of the parking area.</x:v>
      </x:c>
      <x:c r="G212" s="8" t="str">
        <x:v>candidate_unreviewed</x:v>
      </x:c>
      <x:c r="H212" s="21" t="b">
        <x:v>0</x:v>
      </x:c>
      <x:c r="I212" s="8" t="str">
        <x:v>Keyword extraction only. Read page image and full context before promoting. English search cannot exclude Sinhala/Tamil or image-only content.</x:v>
      </x:c>
    </x:row>
    <x:row r="213" ht="630" customHeight="1">
      <x:c r="A213" s="11" t="str">
        <x:v>C00212</x:v>
      </x:c>
      <x:c r="B213" s="11" t="str">
        <x:v>SRC_0040</x:v>
      </x:c>
      <x:c r="C213" s="11" t="str">
        <x:v>KandyDevelopmentPlan-English.pdf</x:v>
      </x:c>
      <x:c r="D213" s="22" t="n">
        <x:v>111</x:v>
      </x:c>
      <x:c r="E213" s="11" t="str">
        <x:v>plot coverage</x:v>
      </x:c>
      <x:c r="F213" s="11" t="str">
        <x:v>ting for initiation of landslide susceptibility Slope Angle Minimum Land Extent (sq.m.) Minimum Plot Coverage (%) Remarks I Unlikely 00 - 50 150 66% Site specific landslide risk assessment is mandatory by the NBRI as per the Ministry of Disaster Management circular No. 2011/01 II Very Low 60 - 100 250 60% III Low 110 - 170 375 55% IV Medium 180 - 310 500 50% V High 320 - 400 750 40% VI Very High &gt; 410 Land extent and plot coverage for special projects shall be decided based on nature of the project and the recommendations of NBRI and other stakeholders. 8.8.3. If the existing uses of a property are not compatible with the proposed uses in the development plan as of the effective date of Development Pla || Medium 180 - 310 500 50% V High 320 - 400 750 40% VI Very High &gt; 410 Land extent and plot coverage for special projects shall be decided based on nature of the project and the recommendations of NBRI and other stakeholders. 8.8.3. If the existing uses of a property are not compatible with the proposed uses in the development plan as of the effective date of Development Plans, extension of time period, adding an extension and alteration of approved building plans or the use of equipment and machinery can be prohibited. In addition, the authority also has the power to halt such actions in case the existing practices are harmful or oppressive to public as per this plan. 8.8.4. In cases where a particu || height shall be limited to a maximum of 3.3 meters, and its extent should not exceed the 10% of the plot coverage. 8.8.11. The Urban Development Authority has the power to revise the zone factor for each area in the future due to special conditions and developments that may occur in the future. 8.8.12. While sub-dividing a slope land, the minimum lot size shall be maintained as per the specifications given in Table 8.1. 8.8.13. In the construction of buildings on sloped land, the permissible plot coverage shall be determined in accordance with the specifications given in Table 8.1. 8.8.14. The minimum land extent might be varied based on the site-specific conditions in the landslide prone areas. In such cases, the minimum land extent and the</x:v>
      </x:c>
      <x:c r="G213" s="11" t="str">
        <x:v>candidate_unreviewed</x:v>
      </x:c>
      <x:c r="H213" s="24" t="b">
        <x:v>0</x:v>
      </x:c>
      <x:c r="I213" s="11" t="str">
        <x:v>Keyword extraction only. Read page image and full context before promoting. English search cannot exclude Sinhala/Tamil or image-only content.</x:v>
      </x:c>
    </x:row>
    <x:row r="214" ht="84" customHeight="1">
      <x:c r="A214" s="8" t="str">
        <x:v>C00213</x:v>
      </x:c>
      <x:c r="B214" s="8" t="str">
        <x:v>SRC_0041</x:v>
      </x:c>
      <x:c r="C214" s="8" t="str">
        <x:v>Kanthale Development Plan - English.pdf</x:v>
      </x:c>
      <x:c r="D214" s="18" t="n">
        <x:v>189</x:v>
      </x:c>
      <x:c r="E214" s="8" t="str">
        <x:v>plot coverage</x:v>
      </x:c>
      <x:c r="F214" s="8" t="str">
        <x:v>oors. The number of housing units assigned to each road does not change. * When percentages of plot coverage are not specified under zoning regulations Source : Eastern Provincial Office, Urban Development Authority, 2022</x:v>
      </x:c>
      <x:c r="G214" s="8" t="str">
        <x:v>candidate_unreviewed</x:v>
      </x:c>
      <x:c r="H214" s="21" t="b">
        <x:v>0</x:v>
      </x:c>
      <x:c r="I214" s="8" t="str">
        <x:v>Keyword extraction only. Read page image and full context before promoting. English search cannot exclude Sinhala/Tamil or image-only content.</x:v>
      </x:c>
    </x:row>
    <x:row r="215" ht="322" customHeight="1">
      <x:c r="A215" s="11" t="str">
        <x:v>C00214</x:v>
      </x:c>
      <x:c r="B215" s="11" t="str">
        <x:v>SRC_0041</x:v>
      </x:c>
      <x:c r="C215" s="11" t="str">
        <x:v>Kanthale Development Plan - English.pdf</x:v>
      </x:c>
      <x:c r="D215" s="22" t="n">
        <x:v>190</x:v>
      </x:c>
      <x:c r="E215" s="11" t="str">
        <x:v>minimum floor area, plot coverage</x:v>
      </x:c>
      <x:c r="F215" s="11" t="str">
        <x:v>t from access road level to upper terrece or roof level (including parking storeys) *Where no Plot Coverage specified under the Zoning Regulations. ** Purely nonresidential activities. *** 65% Plot Coverage can be allowed only for the podium level not exceeding 20% of the tower height or 12 floors which ever is less. **** Minimum floor area for every additional 3m height should increase by 1sq.m. Source : Eastern Provincial Office, Urban Development Authority, 2022 || ge specified under the Zoning Regulations. ** Purely nonresidential activities. *** 65% Plot Coverage can be allowed only for the podium level not exceeding 20% of the tower height or 12 floors which ever is less. **** Minimum floor area for every additional 3m height should increase by 1sq.m. Source : Eastern Provincial Office, Urban Development Authority, 2022 || level not exceeding 20% of the tower height or 12 floors which ever is less. **** Minimum floor area for every additional 3m height should increase by 1sq.m. Source : Eastern Provincial Office, Urban Development Authority, 2022</x:v>
      </x:c>
      <x:c r="G215" s="11" t="str">
        <x:v>candidate_unreviewed</x:v>
      </x:c>
      <x:c r="H215" s="24" t="b">
        <x:v>0</x:v>
      </x:c>
      <x:c r="I215" s="11" t="str">
        <x:v>Keyword extraction only. Read page image and full context before promoting. English search cannot exclude Sinhala/Tamil or image-only content.</x:v>
      </x:c>
    </x:row>
    <x:row r="216" ht="84" customHeight="1">
      <x:c r="A216" s="8" t="str">
        <x:v>C00215</x:v>
      </x:c>
      <x:c r="B216" s="8" t="str">
        <x:v>SRC_0041</x:v>
      </x:c>
      <x:c r="C216" s="8" t="str">
        <x:v>Kanthale Development Plan - English.pdf</x:v>
      </x:c>
      <x:c r="D216" s="18" t="n">
        <x:v>195</x:v>
      </x:c>
      <x:c r="E216" s="8" t="str">
        <x:v>plot coverage</x:v>
      </x:c>
      <x:c r="F216" s="8" t="str">
        <x:v>ries Annexure 12 Zone Factor 1.5 Approved height limit Depends on the Zone Factor Approved plot coverage Residential - 65% Non Residential - 80% Minimum land extent 150 sq.m. Source : Eastern Provincial Office, Urban Development Authority, 2022</x:v>
      </x:c>
      <x:c r="G216" s="8" t="str">
        <x:v>candidate_unreviewed</x:v>
      </x:c>
      <x:c r="H216" s="21" t="b">
        <x:v>0</x:v>
      </x:c>
      <x:c r="I216" s="8" t="str">
        <x:v>Keyword extraction only. Read page image and full context before promoting. English search cannot exclude Sinhala/Tamil or image-only content.</x:v>
      </x:c>
    </x:row>
    <x:row r="217" ht="84" customHeight="1">
      <x:c r="A217" s="11" t="str">
        <x:v>C00216</x:v>
      </x:c>
      <x:c r="B217" s="11" t="str">
        <x:v>SRC_0041</x:v>
      </x:c>
      <x:c r="C217" s="11" t="str">
        <x:v>Kanthale Development Plan - English.pdf</x:v>
      </x:c>
      <x:c r="D217" s="22" t="n">
        <x:v>200</x:v>
      </x:c>
      <x:c r="E217" s="11" t="str">
        <x:v>plot coverage</x:v>
      </x:c>
      <x:c r="F217" s="11" t="str">
        <x:v>ies Annexure 13 Zone Factor 1.1 Approved height limit Depends on the Zone Factor Approved Plot Coverage Residential - 65% Non residential - 80% Minimum land extent 250 sq.m. Source : Eastern Provincial Office, Urban Development Authority, 2022</x:v>
      </x:c>
      <x:c r="G217" s="11" t="str">
        <x:v>candidate_unreviewed</x:v>
      </x:c>
      <x:c r="H217" s="24" t="b">
        <x:v>0</x:v>
      </x:c>
      <x:c r="I217" s="11" t="str">
        <x:v>Keyword extraction only. Read page image and full context before promoting. English search cannot exclude Sinhala/Tamil or image-only content.</x:v>
      </x:c>
    </x:row>
    <x:row r="218" ht="84" customHeight="1">
      <x:c r="A218" s="8" t="str">
        <x:v>C00217</x:v>
      </x:c>
      <x:c r="B218" s="8" t="str">
        <x:v>SRC_0041</x:v>
      </x:c>
      <x:c r="C218" s="8" t="str">
        <x:v>Kanthale Development Plan - English.pdf</x:v>
      </x:c>
      <x:c r="D218" s="18" t="n">
        <x:v>205</x:v>
      </x:c>
      <x:c r="E218" s="8" t="str">
        <x:v>plot coverage</x:v>
      </x:c>
      <x:c r="F218" s="8" t="str">
        <x:v>daries Annexure 14 Zone Factor 1.0 Approved height limit Depends on the Zone Factor Approved plot coverage Residential - 65% Non Residential - 80% Minimum land extent 250 sq.m. Source : Eastern Provincial Office, Urban Development Authority, 2022</x:v>
      </x:c>
      <x:c r="G218" s="8" t="str">
        <x:v>candidate_unreviewed</x:v>
      </x:c>
      <x:c r="H218" s="21" t="b">
        <x:v>0</x:v>
      </x:c>
      <x:c r="I218" s="8" t="str">
        <x:v>Keyword extraction only. Read page image and full context before promoting. English search cannot exclude Sinhala/Tamil or image-only content.</x:v>
      </x:c>
    </x:row>
    <x:row r="219" ht="84" customHeight="1">
      <x:c r="A219" s="11" t="str">
        <x:v>C00218</x:v>
      </x:c>
      <x:c r="B219" s="11" t="str">
        <x:v>SRC_0041</x:v>
      </x:c>
      <x:c r="C219" s="11" t="str">
        <x:v>Kanthale Development Plan - English.pdf</x:v>
      </x:c>
      <x:c r="D219" s="22" t="n">
        <x:v>209</x:v>
      </x:c>
      <x:c r="E219" s="11" t="str">
        <x:v>plot coverage</x:v>
      </x:c>
      <x:c r="F219" s="11" t="str">
        <x:v>ng boundaries Annexure 15 Zone Factor 0.6 Maximum height allowed Depends on the Zone Factor Plot Coverage 80 % Minimum Land Extent 1000 sq.m. Source : Eastern Provincial Office, Urban Development Authority, 2022</x:v>
      </x:c>
      <x:c r="G219" s="11" t="str">
        <x:v>candidate_unreviewed</x:v>
      </x:c>
      <x:c r="H219" s="24" t="b">
        <x:v>0</x:v>
      </x:c>
      <x:c r="I219" s="11" t="str">
        <x:v>Keyword extraction only. Read page image and full context before promoting. English search cannot exclude Sinhala/Tamil or image-only content.</x:v>
      </x:c>
    </x:row>
    <x:row r="220" ht="224" customHeight="1">
      <x:c r="A220" s="8" t="str">
        <x:v>C00219</x:v>
      </x:c>
      <x:c r="B220" s="8" t="str">
        <x:v>SRC_0042</x:v>
      </x:c>
      <x:c r="C220" s="8" t="str">
        <x:v>Kataragama Development Plan - English.pdf</x:v>
      </x:c>
      <x:c r="D220" s="18" t="n">
        <x:v>17</x:v>
      </x:c>
      <x:c r="E220" s="8" t="str">
        <x:v>setbacks</x:v>
      </x:c>
      <x:c r="F220" s="8" t="str">
        <x:v>236 7.3.2.2. Form ‘B’ - Number of Floors for 3m &amp; 4.5m wide Roads ……………… 237 7.3.2.3. Form ‘C’ - Setbacks &amp; open Space ………………………………………237 7.4. Common Zoning Guidelines ………………………………………………………... 238 Chaptor 08…………………………………………………………………………........ 242 Zoning Guidelines .……………………….…………………………………………… 242 8.1. Development Guidelines in the Sacred Area Zone……………………………….… 242 8.1.1. Permissible Uses for Sacred Area …………………………………… 243 8.2. Development Guidelines in Commercial Zone - I………………………………… 244 8.2.1. Permissible Uses for Commercial Zone - I …………………………………… 245 8.3. Development Guidelines in Commercial Zone - II …………………………… 246 8.3.1. Permissible Uses for Commercial Zone - II ……………………………… 247</x:v>
      </x:c>
      <x:c r="G220" s="8" t="str">
        <x:v>candidate_unreviewed</x:v>
      </x:c>
      <x:c r="H220" s="21" t="b">
        <x:v>0</x:v>
      </x:c>
      <x:c r="I220" s="8" t="str">
        <x:v>Keyword extraction only. Read page image and full context before promoting. English search cannot exclude Sinhala/Tamil or image-only content.</x:v>
      </x:c>
    </x:row>
    <x:row r="221" ht="574" customHeight="1">
      <x:c r="A221" s="11" t="str">
        <x:v>C00220</x:v>
      </x:c>
      <x:c r="B221" s="11" t="str">
        <x:v>SRC_0042</x:v>
      </x:c>
      <x:c r="C221" s="11" t="str">
        <x:v>Kataragama Development Plan - English.pdf</x:v>
      </x:c>
      <x:c r="D221" s="22" t="n">
        <x:v>264</x:v>
      </x:c>
      <x:c r="E221" s="11" t="str">
        <x:v>plot coverage, setbacks</x:v>
      </x:c>
      <x:c r="F221" s="11" t="str">
        <x:v>including parking areas Number of units allowed for each road shall not be changed * Where no plot coverage specified under the zoning regulations 7.3.2.3. Form C - Setbacks Form C - Setbacks &amp; Open Spaces Building Height (m) Minimum Site Frontage (m) Plot Coverage* Rear Space (m) Side Space (m) Light Well for NLV Non Residential Residential When no NLV is taking this end When NLV is taking this end When no NLV is taking this end When NLV is taking this end Minimum width Minimum Area less than 7 6 80%** 65% 2.3m 2.3m - 2.3m 2.3m 5 Sq.m 7 less than 15 6 65% 65% 3.0m 3.0m - 3.0m 3.0m 9 Sq.m 15 less than 30 12 65% 65% 4.0m 4.0m 1.0m and 3.0m 4.0m 4.0m 16 Sq.m || be changed * Where no plot coverage specified under the zoning regulations 7.3.2.3. Form C - Setbacks Form C - Setbacks &amp; Open Spaces Building Height (m) Minimum Site Frontage (m) Plot Coverage* Rear Space (m) Side Space (m) Light Well for NLV Non Residential Residential When no NLV is taking this end When NLV is taking this end When no NLV is taking this end When NLV is taking this end Minimum width Minimum Area less than 7 6 80%** 65% 2.3m 2.3m - 2.3m 2.3m 5 Sq.m 7 less than 15 6 65% 65% 3.0m 3.0m - 3.0m 3.0m 9 Sq.m 15 less than 30 12 65% 65% 4.0m 4.0m 1.0m and 3.0m 4.0m 4.0m 16 Sq.m 30 less than 50 20 65% 65% 4.0m 5.0m 3.0m both side 5.0m || e no plot coverage specified under the zoning regulations 7.3.2.3. Form C - Setbacks Form C - Setbacks &amp; Open Spaces Building Height (m) Minimum Site Frontage (m) Plot Coverage* Rear Space (m) Side Space (m) Light Well for NLV Non Residential Residential When no NLV is taking this end When NLV is taking this end When no NLV is taking this end When NLV is taking this end Minimum width Minimum Area less than 7 6 80%** 65% 2.3m 2.3m - 2.3m 2.3m 5 Sq.m 7 less than 15 6 65% 65% 3.0m 3.0m - 3.0m 3.0m 9 Sq.m 15 less than 30 12 65% 65% 4.0m 4.0m 1.0m and 3.0m 4.0m 4.0m 16 Sq.m 30 less than 50 20 65% 65% 4.0m 5.0m 3.0m both side 5.0m 5.0m 25 Sq.m 50</x:v>
      </x:c>
      <x:c r="G221" s="11" t="str">
        <x:v>candidate_unreviewed</x:v>
      </x:c>
      <x:c r="H221" s="24" t="b">
        <x:v>0</x:v>
      </x:c>
      <x:c r="I221" s="11" t="str">
        <x:v>Keyword extraction only. Read page image and full context before promoting. English search cannot exclude Sinhala/Tamil or image-only content.</x:v>
      </x:c>
    </x:row>
    <x:row r="222" ht="154" customHeight="1">
      <x:c r="A222" s="8" t="str">
        <x:v>C00221</x:v>
      </x:c>
      <x:c r="B222" s="8" t="str">
        <x:v>SRC_0042</x:v>
      </x:c>
      <x:c r="C222" s="8" t="str">
        <x:v>Kataragama Development Plan - English.pdf</x:v>
      </x:c>
      <x:c r="D222" s="18" t="n">
        <x:v>270</x:v>
      </x:c>
      <x:c r="E222" s="8" t="str">
        <x:v>plot coverage</x:v>
      </x:c>
      <x:c r="F222" s="8" t="str">
        <x:v>tee depending on the needs to protect the physical charecteristics of the zone. ^f&amp; Permissible Plot Coverage - ^g&amp; Common regulations enforced within the Zone i. Any development proposal within this Zone should secure the prior approval of the Sacred Area Planning Committee, National Physical Planning Department and the Urban Development Authority. ii. No construction is permitted in the Environmental Conservation and Sensitive Zone which belongs to the Kataragama Main Sacred Area.</x:v>
      </x:c>
      <x:c r="G222" s="8" t="str">
        <x:v>candidate_unreviewed</x:v>
      </x:c>
      <x:c r="H222" s="21" t="b">
        <x:v>0</x:v>
      </x:c>
      <x:c r="I222" s="8" t="str">
        <x:v>Keyword extraction only. Read page image and full context before promoting. English search cannot exclude Sinhala/Tamil or image-only content.</x:v>
      </x:c>
    </x:row>
    <x:row r="223" ht="56" customHeight="1">
      <x:c r="A223" s="11" t="str">
        <x:v>C00222</x:v>
      </x:c>
      <x:c r="B223" s="11" t="str">
        <x:v>SRC_0042</x:v>
      </x:c>
      <x:c r="C223" s="11" t="str">
        <x:v>Kataragama Development Plan - English.pdf</x:v>
      </x:c>
      <x:c r="D223" s="22" t="n">
        <x:v>344</x:v>
      </x:c>
      <x:c r="E223" s="11" t="str">
        <x:v>minimum width</x:v>
      </x:c>
      <x:c r="F223" s="11" t="str">
        <x:v>to indicate the width of a future street as determined by the authority. Proposed road width - Minimum width of road expected to be developed</x:v>
      </x:c>
      <x:c r="G223" s="11" t="str">
        <x:v>candidate_unreviewed</x:v>
      </x:c>
      <x:c r="H223" s="24" t="b">
        <x:v>0</x:v>
      </x:c>
      <x:c r="I223" s="11" t="str">
        <x:v>Keyword extraction only. Read page image and full context before promoting. English search cannot exclude Sinhala/Tamil or image-only content.</x:v>
      </x:c>
    </x:row>
    <x:row r="224" ht="182" customHeight="1">
      <x:c r="A224" s="8" t="str">
        <x:v>C00223</x:v>
      </x:c>
      <x:c r="B224" s="8" t="str">
        <x:v>SRC_0045</x:v>
      </x:c>
      <x:c r="C224" s="8" t="str">
        <x:v>Killinochchienglish240619.pdf</x:v>
      </x:c>
      <x:c r="D224" s="18" t="n">
        <x:v>92</x:v>
      </x:c>
      <x:c r="E224" s="8" t="str">
        <x:v>plot coverage</x:v>
      </x:c>
      <x:c r="F224" s="8" t="str">
        <x:v>t the transition point with mixed use activities and it’s differentiated through floor area ratio, plot coverage and mixed urban activities. The main functioning town centres along the main artery A9 road have been classified and intended to be emerged into two main categories such as Terminal Town centres and Facilitation Town Centre. Here the Terminal Town centres are prominent with varieties of activities comprising with; mass scale of Industries, processing centres and Ware houses etc. Facilitation centres will act as the main facility provider for the</x:v>
      </x:c>
      <x:c r="G224" s="8" t="str">
        <x:v>candidate_unreviewed</x:v>
      </x:c>
      <x:c r="H224" s="21" t="b">
        <x:v>0</x:v>
      </x:c>
      <x:c r="I224" s="8" t="str">
        <x:v>Keyword extraction only. Read page image and full context before promoting. English search cannot exclude Sinhala/Tamil or image-only content.</x:v>
      </x:c>
    </x:row>
    <x:row r="225" ht="196" customHeight="1">
      <x:c r="A225" s="11" t="str">
        <x:v>C00224</x:v>
      </x:c>
      <x:c r="B225" s="11" t="str">
        <x:v>SRC_0045</x:v>
      </x:c>
      <x:c r="C225" s="11" t="str">
        <x:v>Killinochchienglish240619.pdf</x:v>
      </x:c>
      <x:c r="D225" s="22" t="n">
        <x:v>151</x:v>
      </x:c>
      <x:c r="E225" s="11" t="str">
        <x:v>minimum width</x:v>
      </x:c>
      <x:c r="F225" s="11" t="str">
        <x:v>ea for all kind of industries and warehouses • Internal service roads should be maintaining the minimum width of 9m for all non-residential activities • Green building certification should be obtained. • If any development comes within the reservation areas of the tank, channels, railway clearance from relevant department should be obtained • If any development comes Adjoining the environmental sensitive area, clearance should be obtained from CEA • If the development is listed within the prescribed activities of the CEA, clearance should be obtained from CEA • Parking Provision for all the development activities should be</x:v>
      </x:c>
      <x:c r="G225" s="11" t="str">
        <x:v>candidate_unreviewed</x:v>
      </x:c>
      <x:c r="H225" s="24" t="b">
        <x:v>0</x:v>
      </x:c>
      <x:c r="I225" s="11" t="str">
        <x:v>Keyword extraction only. Read page image and full context before promoting. English search cannot exclude Sinhala/Tamil or image-only content.</x:v>
      </x:c>
    </x:row>
    <x:row r="226" ht="224" customHeight="1">
      <x:c r="A226" s="8" t="str">
        <x:v>C00225</x:v>
      </x:c>
      <x:c r="B226" s="8" t="str">
        <x:v>SRC_0045</x:v>
      </x:c>
      <x:c r="C226" s="8" t="str">
        <x:v>Killinochchienglish240619.pdf</x:v>
      </x:c>
      <x:c r="D226" s="18" t="n">
        <x:v>165</x:v>
      </x:c>
      <x:c r="E226" s="8" t="str">
        <x:v>minimum width</x:v>
      </x:c>
      <x:c r="F226" s="8" t="str">
        <x:v>rea for all kind of industries and warehouses • Internal service roads should be maintaining the minimum width of 9m for all non-residential activities • Green building certification should be obtained. • If any development comes within the reservation areas of the tank, channels, railway clearance from relevant department should be obtained • If any development comes Adjoining the environmental sensitive area, clearance should be obtained from CEA • If the development is listed within the prescribed activities of the CEA, clearance should be obtained from CEA • Parking Provision for all the development activities should be provided within the proposed premises itself • Relevant department clearances should be obtained</x:v>
      </x:c>
      <x:c r="G226" s="8" t="str">
        <x:v>candidate_unreviewed</x:v>
      </x:c>
      <x:c r="H226" s="21" t="b">
        <x:v>0</x:v>
      </x:c>
      <x:c r="I226" s="8" t="str">
        <x:v>Keyword extraction only. Read page image and full context before promoting. English search cannot exclude Sinhala/Tamil or image-only content.</x:v>
      </x:c>
    </x:row>
    <x:row r="227" ht="574" customHeight="1">
      <x:c r="A227" s="11" t="str">
        <x:v>C00226</x:v>
      </x:c>
      <x:c r="B227" s="11" t="str">
        <x:v>SRC_0045</x:v>
      </x:c>
      <x:c r="C227" s="11" t="str">
        <x:v>Killinochchienglish240619.pdf</x:v>
      </x:c>
      <x:c r="D227" s="22" t="n">
        <x:v>185</x:v>
      </x:c>
      <x:c r="E227" s="11" t="str">
        <x:v>minimum width, plot coverage</x:v>
      </x:c>
      <x:c r="F227" s="11" t="str">
        <x:v>sidered for the allowable Floor Area Ratio for the proposed development. But while calculating the plot coverage percentage, the rest of the plot, excluding the portion belonging to the street line/proposed road width should be considered. vi. In cases where the development premises face more than one road having right of way with a minimum width of 6 m or more than that and connected to main roads independently, the sum of the widths of all those roads may be considered as the access road width to calculate the permissible development on a case-by-case basis vii. In the construction of buildings, the Maximum Permissible Floor Area Ratio related to the Zone Factor given in "Form C" shall be determined by considering the slope of the propose || . vi. In cases where the development premises face more than one road having right of way with a minimum width of 6 m or more than that and connected to main roads independently, the sum of the widths of all those roads may be considered as the access road width to calculate the permissible development on a case-by-case basis vii. In the construction of buildings, the Maximum Permissible Floor Area Ratio related to the Zone Factor given in "Form C" shall be determined by considering the slope of the proposed land and in accordance with the specifications shown in the Table No 14. Table 14_Permissible Maximum Plot Coverage Percentage and FAR percentage depending on the slope of the land Slope of the land (degrees) Maximum Permissible Plot || and in accordance with the specifications shown in the Table No 14. Table 14_Permissible Maximum Plot Coverage Percentage and FAR percentage depending on the slope of the land Slope of the land (degrees) Maximum Permissible Plot Coverage The Percentage of Maximum Permissible Floor Area Ratio From 0-10 According to the zoning regulations. 100% From 11-20 According to the zoning regulations. 75% From 21-30 50% 50% From 31-40 40% 35%</x:v>
      </x:c>
      <x:c r="G227" s="11" t="str">
        <x:v>candidate_unreviewed</x:v>
      </x:c>
      <x:c r="H227" s="24" t="b">
        <x:v>0</x:v>
      </x:c>
      <x:c r="I227" s="11" t="str">
        <x:v>Keyword extraction only. Read page image and full context before promoting. English search cannot exclude Sinhala/Tamil or image-only content.</x:v>
      </x:c>
    </x:row>
    <x:row r="228" ht="532" customHeight="1">
      <x:c r="A228" s="8" t="str">
        <x:v>C00227</x:v>
      </x:c>
      <x:c r="B228" s="8" t="str">
        <x:v>SRC_0045</x:v>
      </x:c>
      <x:c r="C228" s="8" t="str">
        <x:v>Killinochchienglish240619.pdf</x:v>
      </x:c>
      <x:c r="D228" s="18" t="n">
        <x:v>189</x:v>
      </x:c>
      <x:c r="E228" s="8" t="str">
        <x:v>minimum width, plot coverage, setbacks</x:v>
      </x:c>
      <x:c r="F228" s="8" t="str">
        <x:v>er of floors As per the form “A” in Schedule I &amp; “B” in Schedule II viii. Permissible Maximum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1. Internal service roads should maintain the minimum width of 9m for all non- residential activities 2. If any development comes within the reservation areas of the tank, channels, railway clearance from relevant department should be obtained 3. If any development comes Adjoing the environmental sensitive area, clearance should b || sible Maximum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1. Internal service roads should maintain the minimum width of 9m for all non- residential activities 2. If any development comes within the reservation areas of the tank, channels, railway clearance from relevant department should be obtained 3. If any development comes Adjoing the environmental sensitive area, clearance should be obtained from CEA || G” in Schedule V xii. Common zoning regulations 1. Internal service roads should maintain the minimum width of 9m for all non- residential activities 2. If any development comes within the reservation areas of the tank, channels, railway clearance from relevant department should be obtained 3. If any development comes Adjoing the environmental sensitive area, clearance should be obtained from CEA</x:v>
      </x:c>
      <x:c r="G228" s="8" t="str">
        <x:v>candidate_unreviewed</x:v>
      </x:c>
      <x:c r="H228" s="21" t="b">
        <x:v>0</x:v>
      </x:c>
      <x:c r="I228" s="8" t="str">
        <x:v>Keyword extraction only. Read page image and full context before promoting. English search cannot exclude Sinhala/Tamil or image-only content.</x:v>
      </x:c>
    </x:row>
    <x:row r="229" ht="434" customHeight="1">
      <x:c r="A229" s="11" t="str">
        <x:v>C00228</x:v>
      </x:c>
      <x:c r="B229" s="11" t="str">
        <x:v>SRC_0045</x:v>
      </x:c>
      <x:c r="C229" s="11" t="str">
        <x:v>Killinochchienglish240619.pdf</x:v>
      </x:c>
      <x:c r="D229" s="22" t="n">
        <x:v>191</x:v>
      </x:c>
      <x:c r="E229" s="11" t="str">
        <x:v>plot coverage, setbacks</x:v>
      </x:c>
      <x:c r="F229" s="11" t="str">
        <x:v>er of floors As per the form “A” in Schedule I &amp; “B” in Schedule II viii. Permissible Maximum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1. If any development comes within the reservation areas of the tank, channels, Railway, clearance from relevant department should be obtained 2. If any development comes adjoin the environmental sensitive area, clearance should be obtained from CEA 3. If the development is listed within the prescribed activities of the CEA, clear || sible Maximum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1. If any development comes within the reservation areas of the tank, channels, Railway, clearance from relevant department should be obtained 2. If any development comes adjoin the environmental sensitive area, clearance should be obtained from CEA 3. If the development is listed within the prescribed activities of the CEA, clearance should be obtained from CEA 4. Parking Provision for all the develop</x:v>
      </x:c>
      <x:c r="G229" s="11" t="str">
        <x:v>candidate_unreviewed</x:v>
      </x:c>
      <x:c r="H229" s="24" t="b">
        <x:v>0</x:v>
      </x:c>
      <x:c r="I229" s="11" t="str">
        <x:v>Keyword extraction only. Read page image and full context before promoting. English search cannot exclude Sinhala/Tamil or image-only content.</x:v>
      </x:c>
    </x:row>
    <x:row r="230" ht="434" customHeight="1">
      <x:c r="A230" s="8" t="str">
        <x:v>C00229</x:v>
      </x:c>
      <x:c r="B230" s="8" t="str">
        <x:v>SRC_0045</x:v>
      </x:c>
      <x:c r="C230" s="8" t="str">
        <x:v>Killinochchienglish240619.pdf</x:v>
      </x:c>
      <x:c r="D230" s="18" t="n">
        <x:v>193</x:v>
      </x:c>
      <x:c r="E230" s="8" t="str">
        <x:v>plot coverage, setbacks</x:v>
      </x:c>
      <x:c r="F230" s="8" t="str">
        <x:v>er of floors As per the form “A” in Schedule I &amp; “B” in Schedule II viii. Permissible Maximum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1. If any development comes within the reservation areas of the tank, channels, railway clearance from relevant department should be obtained 2. If any development comes Adjoin the environmental sensitive area, clearance should be obtained from CEA 3. If the development is listed within the prescribed activities of the CEA, clearan || sible Maximum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1. If any development comes within the reservation areas of the tank, channels, railway clearance from relevant department should be obtained 2. If any development comes Adjoin the environmental sensitive area, clearance should be obtained from CEA 3. If the development is listed within the prescribed activities of the CEA, clearance should be obtained from CEA 4. Parking Provision for all the development a</x:v>
      </x:c>
      <x:c r="G230" s="8" t="str">
        <x:v>candidate_unreviewed</x:v>
      </x:c>
      <x:c r="H230" s="21" t="b">
        <x:v>0</x:v>
      </x:c>
      <x:c r="I230" s="8" t="str">
        <x:v>Keyword extraction only. Read page image and full context before promoting. English search cannot exclude Sinhala/Tamil or image-only content.</x:v>
      </x:c>
    </x:row>
    <x:row r="231" ht="476" customHeight="1">
      <x:c r="A231" s="11" t="str">
        <x:v>C00230</x:v>
      </x:c>
      <x:c r="B231" s="11" t="str">
        <x:v>SRC_0045</x:v>
      </x:c>
      <x:c r="C231" s="11" t="str">
        <x:v>Killinochchienglish240619.pdf</x:v>
      </x:c>
      <x:c r="D231" s="22" t="n">
        <x:v>195</x:v>
      </x:c>
      <x:c r="E231" s="11" t="str">
        <x:v>minimum width, plot coverage, setbacks</x:v>
      </x:c>
      <x:c r="F231" s="11" t="str">
        <x:v>er of floors As per the form “A” in Schedule I &amp; “B” in Schedule II viii. Permissible Maximum Plot Coverage Residential – 65% Retail Shop – 80% Warehouse- 60 % Bank -80 % Industries -60 % Quarters - 60 % ix. Setbacks &amp; maximum height As per the form “E” in Schedule III x. Minimum land extent for sub division 1011 Sq.m (40 perches) xi. Permissible uses As per the form “F” in Schedule IV &amp; “G” in Schedule V xii. Common zoning regulations 1. No development shall be permitted without solar panel installations on the roof top area for all kind of industries and warehouses 2. Internal service roads should be maintain the minimum width of 9m for all non-residential activities 3. If any development comes within the reservat || ntial – 65% Retail Shop – 80% Warehouse- 60 % Bank -80 % Industries -60 % Quarters - 60 % ix. Setbacks &amp; maximum height As per the form “E” in Schedule III x. Minimum land extent for sub division 1011 Sq.m (40 perches) xi. Permissible uses As per the form “F” in Schedule IV &amp; “G” in Schedule V xii. Common zoning regulations 1. No development shall be permitted without solar panel installations on the roof top area for all kind of industries and warehouses 2. Internal service roads should be maintain the minimum width of 9m for all non-residential activities 3. If any development comes within the reservation areas of the tank, channels, railway || area for all kind of industries and warehouses 2. Internal service roads should be maintain the minimum width of 9m for all non-residential activities 3. If any development comes within the reservation areas of the tank, channels, railway</x:v>
      </x:c>
      <x:c r="G231" s="11" t="str">
        <x:v>candidate_unreviewed</x:v>
      </x:c>
      <x:c r="H231" s="24" t="b">
        <x:v>0</x:v>
      </x:c>
      <x:c r="I231" s="11" t="str">
        <x:v>Keyword extraction only. Read page image and full context before promoting. English search cannot exclude Sinhala/Tamil or image-only content.</x:v>
      </x:c>
    </x:row>
    <x:row r="232" ht="532" customHeight="1">
      <x:c r="A232" s="8" t="str">
        <x:v>C00231</x:v>
      </x:c>
      <x:c r="B232" s="8" t="str">
        <x:v>SRC_0045</x:v>
      </x:c>
      <x:c r="C232" s="8" t="str">
        <x:v>Killinochchienglish240619.pdf</x:v>
      </x:c>
      <x:c r="D232" s="18" t="n">
        <x:v>197</x:v>
      </x:c>
      <x:c r="E232" s="8" t="str">
        <x:v>minimum width, plot coverage, setbacks</x:v>
      </x:c>
      <x:c r="F232" s="8" t="str">
        <x:v>er of floors As per the form “A” in Schedule I &amp; “B” in Schedule II viii. Permissible Maximum Plot Coverage Retail Shop – 80% Warehouse- 60 % Bank -80 % Industries -60 % Quarters - 60 % Educational Institution – 50 % Medical Institution – 50 % ix. Setbacks &amp; maximum height As per the form “E” in Schedule III x. Minimum land extent for sub division 505 Sq.m (20 Perches) xi. Permissible uses As per the form “F” in Schedule IV &amp; “G” in Schedule V Common zoning regulations 1. No development shall be permitted without solar panel installations on the roof top area for all kind of industries and warehouses 2. Internal service roads should be maintaining the minimum width of 9m for all non- residential activities 3. Gre || Industries -60 % Quarters - 60 % Educational Institution – 50 % Medical Institution – 50 % ix. Setbacks &amp; maximum height As per the form “E” in Schedule III x. Minimum land extent for sub division 505 Sq.m (20 Perches) xi. Permissible uses As per the form “F” in Schedule IV &amp; “G” in Schedule V Common zoning regulations 1. No development shall be permitted without solar panel installations on the roof top area for all kind of industries and warehouses 2. Internal service roads should be maintaining the minimum width of 9m for all non- residential activities 3. Green building certification should be obtained for all developments exceeding 1000 Sq.m in floor area. 4. If any development comes within the reservation a || or all kind of industries and warehouses 2. Internal service roads should be maintaining the minimum width of 9m for all non- residential activities 3. Green building certification should be obtained for all developments exceeding 1000 Sq.m in floor area. 4. If any development comes within the reservation areas of the tank, channels, railway</x:v>
      </x:c>
      <x:c r="G232" s="8" t="str">
        <x:v>candidate_unreviewed</x:v>
      </x:c>
      <x:c r="H232" s="21" t="b">
        <x:v>0</x:v>
      </x:c>
      <x:c r="I232" s="8" t="str">
        <x:v>Keyword extraction only. Read page image and full context before promoting. English search cannot exclude Sinhala/Tamil or image-only content.</x:v>
      </x:c>
    </x:row>
    <x:row r="233" ht="448" customHeight="1">
      <x:c r="A233" s="11" t="str">
        <x:v>C00232</x:v>
      </x:c>
      <x:c r="B233" s="11" t="str">
        <x:v>SRC_0045</x:v>
      </x:c>
      <x:c r="C233" s="11" t="str">
        <x:v>Killinochchienglish240619.pdf</x:v>
      </x:c>
      <x:c r="D233" s="22" t="n">
        <x:v>199</x:v>
      </x:c>
      <x:c r="E233" s="11" t="str">
        <x:v>minimum width, plot coverage, setbacks</x:v>
      </x:c>
      <x:c r="F233" s="11" t="str">
        <x:v>r of floors As per the form “A” in Schedule I &amp; “B” in Schedule II viii. Permissible Maximum Plot Coverage Residential – 65% Commercial- 80% ix. Setbacks &amp; maximum height As per the form “E” in Schedule III x. Minimum land extent for sub division 1011 Sq.m (40 Perches) xi. Permissible uses As per the form “F” in Schedule IV &amp; “G” in Schedule V xii. Common zoning regulations 1. Internal service roads should be maintain the minimum width of 6 m for all non-residential activities 2. If any development comes within the reservation areas of the tank, channels, railway clearance from relevant department should be obtained || in Schedule II viii. Permissible Maximum Plot Coverage Residential – 65% Commercial- 80% ix. Setbacks &amp; maximum height As per the form “E” in Schedule III x. Minimum land extent for sub division 1011 Sq.m (40 Perches) xi. Permissible uses As per the form “F” in Schedule IV &amp; “G” in Schedule V xii. Common zoning regulations 1. Internal service roads should be maintain the minimum width of 6 m for all non-residential activities 2. If any development comes within the reservation areas of the tank, channels, railway clearance from relevant department should be obtained || Schedule V xii. Common zoning regulations 1. Internal service roads should be maintain the minimum width of 6 m for all non-residential activities 2. If any development comes within the reservation areas of the tank, channels, railway clearance from relevant department should be obtained</x:v>
      </x:c>
      <x:c r="G233" s="11" t="str">
        <x:v>candidate_unreviewed</x:v>
      </x:c>
      <x:c r="H233" s="24" t="b">
        <x:v>0</x:v>
      </x:c>
      <x:c r="I233" s="11" t="str">
        <x:v>Keyword extraction only. Read page image and full context before promoting. English search cannot exclude Sinhala/Tamil or image-only content.</x:v>
      </x:c>
    </x:row>
    <x:row r="234" ht="406" customHeight="1">
      <x:c r="A234" s="8" t="str">
        <x:v>C00233</x:v>
      </x:c>
      <x:c r="B234" s="8" t="str">
        <x:v>SRC_0045</x:v>
      </x:c>
      <x:c r="C234" s="8" t="str">
        <x:v>Killinochchienglish240619.pdf</x:v>
      </x:c>
      <x:c r="D234" s="18" t="n">
        <x:v>201</x:v>
      </x:c>
      <x:c r="E234" s="8" t="str">
        <x:v>plot coverage, setbacks</x:v>
      </x:c>
      <x:c r="F234" s="8" t="str">
        <x:v>FAR/ Number of floors Will be decided by the Planning Committee viii. Permissible Maximum Plot Coverage Will be decided by the Planning Committee ix. Setbacks &amp; maximum height Will be decided by the Planning Committee x. Minimum land extent for sub division Will be decided by the Planning Committee xi. Permissible uses Will be decided by the Planning Committee xii. Common zoning regulations Nature friendly development activities such as • Nature Parks • Field Lab for Nature studies • Tank Development • Any other Activities permitted by the Planning Committee Following Clearances should be obtained for any type of development activities 1. Forest department Source: Urban Development Authority, 2023 || ttee viii. Permissible Maximum Plot Coverage Will be decided by the Planning Committee ix. Setbacks &amp; maximum height Will be decided by the Planning Committee x. Minimum land extent for sub division Will be decided by the Planning Committee xi. Permissible uses Will be decided by the Planning Committee xii. Common zoning regulations Nature friendly development activities such as • Nature Parks • Field Lab for Nature studies • Tank Development • Any other Activities permitted by the Planning Committee Following Clearances should be obtained for any type of development activities 1. Forest department Source: Urban Development Authority, 2023</x:v>
      </x:c>
      <x:c r="G234" s="8" t="str">
        <x:v>candidate_unreviewed</x:v>
      </x:c>
      <x:c r="H234" s="21" t="b">
        <x:v>0</x:v>
      </x:c>
      <x:c r="I234" s="8" t="str">
        <x:v>Keyword extraction only. Read page image and full context before promoting. English search cannot exclude Sinhala/Tamil or image-only content.</x:v>
      </x:c>
    </x:row>
    <x:row r="235" ht="98" customHeight="1">
      <x:c r="A235" s="11" t="str">
        <x:v>C00234</x:v>
      </x:c>
      <x:c r="B235" s="11" t="str">
        <x:v>SRC_0045</x:v>
      </x:c>
      <x:c r="C235" s="11" t="str">
        <x:v>Killinochchienglish240619.pdf</x:v>
      </x:c>
      <x:c r="D235" s="22" t="n">
        <x:v>203</x:v>
      </x:c>
      <x:c r="E235" s="11" t="str">
        <x:v>minimum width</x:v>
      </x:c>
      <x:c r="F235" s="11" t="str">
        <x:v>minimum of 12m (from road center) Building Line, if not maximum FAR shall be limited to 9.0 • Minimum Width of the roads that do not have a specified Street line / Building line will be decided by the planning committee based on the development trend of the area.</x:v>
      </x:c>
      <x:c r="G235" s="11" t="str">
        <x:v>candidate_unreviewed</x:v>
      </x:c>
      <x:c r="H235" s="24" t="b">
        <x:v>0</x:v>
      </x:c>
      <x:c r="I235" s="11" t="str">
        <x:v>Keyword extraction only. Read page image and full context before promoting. English search cannot exclude Sinhala/Tamil or image-only content.</x:v>
      </x:c>
    </x:row>
    <x:row r="236" ht="168" customHeight="1">
      <x:c r="A236" s="8" t="str">
        <x:v>C00235</x:v>
      </x:c>
      <x:c r="B236" s="8" t="str">
        <x:v>SRC_0045</x:v>
      </x:c>
      <x:c r="C236" s="8" t="str">
        <x:v>Killinochchienglish240619.pdf</x:v>
      </x:c>
      <x:c r="D236" s="18" t="n">
        <x:v>204</x:v>
      </x:c>
      <x:c r="E236" s="8" t="str">
        <x:v>plot coverage</x:v>
      </x:c>
      <x:c r="F236" s="8" t="str">
        <x:v>Form B - Number of Floors for 3.0m &amp; 4.5m wide Roads Minimum Road Width Minimum Site Frontage Plot Coverage* Maximum Number of Floors Zone Factor 1.50 - 3.49 Zone Factor 3.50 - 4.00 3.0m 6m 65% 3 (G+2) 3 (G+2) 4.5m 6m 65% 3 (G+2) 4 (G+3) Number of floors are indicated including parking areas * Where no plot coverage specified under the zoning regulations || 6m 65% 3 (G+2) 4 (G+3) Number of floors are indicated including parking areas * Where no plot coverage specified under the zoning regulations</x:v>
      </x:c>
      <x:c r="G236" s="8" t="str">
        <x:v>candidate_unreviewed</x:v>
      </x:c>
      <x:c r="H236" s="21" t="b">
        <x:v>0</x:v>
      </x:c>
      <x:c r="I236" s="8" t="str">
        <x:v>Keyword extraction only. Read page image and full context before promoting. English search cannot exclude Sinhala/Tamil or image-only content.</x:v>
      </x:c>
    </x:row>
    <x:row r="237" ht="518" customHeight="1">
      <x:c r="A237" s="11" t="str">
        <x:v>C00236</x:v>
      </x:c>
      <x:c r="B237" s="11" t="str">
        <x:v>SRC_0045</x:v>
      </x:c>
      <x:c r="C237" s="11" t="str">
        <x:v>Killinochchienglish240619.pdf</x:v>
      </x:c>
      <x:c r="D237" s="22" t="n">
        <x:v>205</x:v>
      </x:c>
      <x:c r="E237" s="11" t="str">
        <x:v>plot coverage, setbacks</x:v>
      </x:c>
      <x:c r="F237" s="11" t="str">
        <x:v>the gazette notification No. 54/2235 dated 08.07.2021by the Urban Development Authority Form E - Setbacks &amp; Open Spaces Building Height (m) Minimum Site Frontage (m) Plot Coverage * Rear Space (m) Side Space (m) Light Well for NLV Non- Resident ial Resident ial When no NLV is taking this end When NLV is taking this end When no NLV is taking this end When NLV is taking this end Minimum width Minimum Area less than 7 6 80%** 65% 2.3m 2.3m - 2.3m 2.3m 5Sq.m 7 less than 15 6 65% 65% 3.0m 3.0m - 3.0m 3.0m 9 Sq.m 15 less than 30 12 65% 65% 4.0m 4.0m 1.0m and 3.0m 4.0m 4.0m 16 Sq.m 30 less than 50 20 65% 65% 4.0m 5.0m 3.0m both side 5.0m 5.0m 25 Sq.m 50 less than 75 30 50%*** 50%* || nt Authority Form E - Setbacks &amp; Open Spaces Building Height (m) Minimum Site Frontage (m) Plot Coverage * Rear Space (m) Side Space (m) Light Well for NLV Non- Resident ial Resident ial When no NLV is taking this end When NLV is taking this end When no NLV is taking this end When NLV is taking this end Minimum width Minimum Area less than 7 6 80%** 65% 2.3m 2.3m - 2.3m 2.3m 5Sq.m 7 less than 15 6 65% 65% 3.0m 3.0m - 3.0m 3.0m 9 Sq.m 15 less than 30 12 65% 65% 4.0m 4.0m 1.0m and 3.0m 4.0m 4.0m 16 Sq.m 30 less than 50 20 65% 65% 4.0m 5.0m 3.0m both side 5.0m 5.0m 25 Sq.m 50 less than 75 30 50%*** 50%*** 5.0m 6.0m 4.0m both side 6.0m 6.0m 36 Sq.m 75 and above Above 40 50% || eight between access road level to roof top or roof level (Including parking floors) * Where no Plot Coverage specified under the zoning regulations ** The entire development is for non-residential activities *** 65% plot coverage can be allowed only for the podium level not exceeding 20% of the tower height or 12 floors whichever is less **** Minimum area shall be increased by 1Sq.m for every additional 3m height</x:v>
      </x:c>
      <x:c r="G237" s="11" t="str">
        <x:v>candidate_unreviewed</x:v>
      </x:c>
      <x:c r="H237" s="24" t="b">
        <x:v>0</x:v>
      </x:c>
      <x:c r="I237" s="11" t="str">
        <x:v>Keyword extraction only. Read page image and full context before promoting. English search cannot exclude Sinhala/Tamil or image-only content.</x:v>
      </x:c>
    </x:row>
    <x:row r="238" ht="238" customHeight="1">
      <x:c r="A238" s="8" t="str">
        <x:v>C00237</x:v>
      </x:c>
      <x:c r="B238" s="8" t="str">
        <x:v>SRC_0045</x:v>
      </x:c>
      <x:c r="C238" s="8" t="str">
        <x:v>Killinochchienglish240619.pdf</x:v>
      </x:c>
      <x:c r="D238" s="18" t="n">
        <x:v>247</x:v>
      </x:c>
      <x:c r="E238" s="8" t="str">
        <x:v>plot coverage</x:v>
      </x:c>
      <x:c r="F238" s="8" t="str">
        <x:v>tor ............................................................. 181 Table 14_Permissible Maximum Plot Coverage Percentage and FAR percentage depending on the slope of the land ................................................................................. 182 Table 15_The Minimum Land Extent and width &amp; depth of the land in accordance with the slope of the land ........................................................................................................ 183 Table 16_ Residential Zone ............................................................................................ 186 Table 17_Commercial Zone ........................................................................................... 188 Table 18_ Mixed Development Zone .</x:v>
      </x:c>
      <x:c r="G238" s="8" t="str">
        <x:v>candidate_unreviewed</x:v>
      </x:c>
      <x:c r="H238" s="21" t="b">
        <x:v>0</x:v>
      </x:c>
      <x:c r="I238" s="8" t="str">
        <x:v>Keyword extraction only. Read page image and full context before promoting. English search cannot exclude Sinhala/Tamil or image-only content.</x:v>
      </x:c>
    </x:row>
    <x:row r="239" ht="238" customHeight="1">
      <x:c r="A239" s="11" t="str">
        <x:v>C00238</x:v>
      </x:c>
      <x:c r="B239" s="11" t="str">
        <x:v>SRC_0048</x:v>
      </x:c>
      <x:c r="C239" s="11" t="str">
        <x:v>Kuliyapitiya Development plan 2023-2033 - English Report 2024.07.04.pdf</x:v>
      </x:c>
      <x:c r="D239" s="22" t="n">
        <x:v>184</x:v>
      </x:c>
      <x:c r="E239" s="11" t="str">
        <x:v>plot coverage</x:v>
      </x:c>
      <x:c r="F239" s="11" t="str">
        <x:v>ible house area ratio for the proposed development work. However, in calculating the percentage of plot coverage, the remaining area of the land should be considered, excluding the portion that belongs to the street line/proposed road width. 06. For renovation of buildings and sites of archaeological value in this planning area, approval from the Urban Development Authority and relevant agencies is required. 07. Approval from relevant institutions must be obtained before carrying out development activities in land or reserve areas belonging to the Department of Archaeology, Department of Forestry, Department of Irrigation, Department of Agrarian Services Development, Land Development Corporation, Geological Survey, Bureau of Mines, etc.,</x:v>
      </x:c>
      <x:c r="G239" s="11" t="str">
        <x:v>candidate_unreviewed</x:v>
      </x:c>
      <x:c r="H239" s="24" t="b">
        <x:v>0</x:v>
      </x:c>
      <x:c r="I239" s="11" t="str">
        <x:v>Keyword extraction only. Read page image and full context before promoting. English search cannot exclude Sinhala/Tamil or image-only content.</x:v>
      </x:c>
    </x:row>
    <x:row r="240" ht="182" customHeight="1">
      <x:c r="A240" s="8" t="str">
        <x:v>C00239</x:v>
      </x:c>
      <x:c r="B240" s="8" t="str">
        <x:v>SRC_0048</x:v>
      </x:c>
      <x:c r="C240" s="8" t="str">
        <x:v>Kuliyapitiya Development plan 2023-2033 - English Report 2024.07.04.pdf</x:v>
      </x:c>
      <x:c r="D240" s="18" t="n">
        <x:v>185</x:v>
      </x:c>
      <x:c r="E240" s="8" t="str">
        <x:v>setback</x:v>
      </x:c>
      <x:c r="F240" s="8" t="str">
        <x:v>ation. 18. If a boundary wall or fence is constructed within the building boundary, a 1 - meter setback from the road boundary towards the land can be considered for approval, subject to signing a secular agreement with the relevant institution. 19. Various religious statues, symbols, signs, or similar constructions are not permitted at intersections, road widening limits, or reserves in the area, and no compensation will be provided for their removal. 20. Recommendations of the concerned local authority must be obtained if land is allotted for a cemetery/crematorium.</x:v>
      </x:c>
      <x:c r="G240" s="8" t="str">
        <x:v>candidate_unreviewed</x:v>
      </x:c>
      <x:c r="H240" s="21" t="b">
        <x:v>0</x:v>
      </x:c>
      <x:c r="I240" s="8" t="str">
        <x:v>Keyword extraction only. Read page image and full context before promoting. English search cannot exclude Sinhala/Tamil or image-only content.</x:v>
      </x:c>
    </x:row>
    <x:row r="241" ht="84" customHeight="1">
      <x:c r="A241" s="11" t="str">
        <x:v>C00240</x:v>
      </x:c>
      <x:c r="B241" s="11" t="str">
        <x:v>SRC_0048</x:v>
      </x:c>
      <x:c r="C241" s="11" t="str">
        <x:v>Kuliyapitiya Development plan 2023-2033 - English Report 2024.07.04.pdf</x:v>
      </x:c>
      <x:c r="D241" s="22" t="n">
        <x:v>316</x:v>
      </x:c>
      <x:c r="E241" s="11" t="str">
        <x:v>minimum width</x:v>
      </x:c>
      <x:c r="F241" s="11" t="str">
        <x:v>6 One space for 100 square meters One space for 500 square meters *The minimum width of the road should be 06 meters and the building boundary should be 4.5 meters or more. ** Approved parking space for bicycles and motorcycles.</x:v>
      </x:c>
      <x:c r="G241" s="11" t="str">
        <x:v>candidate_unreviewed</x:v>
      </x:c>
      <x:c r="H241" s="24" t="b">
        <x:v>0</x:v>
      </x:c>
      <x:c r="I241" s="11" t="str">
        <x:v>Keyword extraction only. Read page image and full context before promoting. English search cannot exclude Sinhala/Tamil or image-only content.</x:v>
      </x:c>
    </x:row>
    <x:row r="242" ht="224" customHeight="1">
      <x:c r="A242" s="8" t="str">
        <x:v>C00241</x:v>
      </x:c>
      <x:c r="B242" s="8" t="str">
        <x:v>SRC_0049</x:v>
      </x:c>
      <x:c r="C242" s="8" t="str">
        <x:v>Kuruwita_Dev_Plan_E.pdf</x:v>
      </x:c>
      <x:c r="D242" s="18" t="n">
        <x:v>17</x:v>
      </x:c>
      <x:c r="E242" s="8" t="str">
        <x:v>plot coverage</x:v>
      </x:c>
      <x:c r="F242" s="8" t="str">
        <x:v>. Development Guide Plan Areas 222 8.3 Schedule 223 Schedule I – ‘A’ Format: Allowable rates of Plot Coverage 223 Schedule II - "B" Format: Permissible floor numbers 227 Schedule III –“C” Format: Open Spaces 228 Schedule IV- "D": Permissible uses for development zones and 229 Minimum plot sizes Chapter 09: Proposed road width, Building lines and Reserves 9.1. Proposed road width and building lines 244 9.1.1. Main Roads 244 9.1.2. Local Authority Roads 244 9.1.3. Proposed road width and proposed roads for building lines 248 9.2. Building lines/River reservation for canals, rivers and reservoirs 249 9.3. Reservation Requirements for Excavations 250 Part 03 - Annexures List of Figures 256 List of Maps 258 List of Tables</x:v>
      </x:c>
      <x:c r="G242" s="8" t="str">
        <x:v>candidate_unreviewed</x:v>
      </x:c>
      <x:c r="H242" s="21" t="b">
        <x:v>0</x:v>
      </x:c>
      <x:c r="I242" s="8" t="str">
        <x:v>Keyword extraction only. Read page image and full context before promoting. English search cannot exclude Sinhala/Tamil or image-only content.</x:v>
      </x:c>
    </x:row>
    <x:row r="243" ht="448" customHeight="1">
      <x:c r="A243" s="11" t="str">
        <x:v>C00242</x:v>
      </x:c>
      <x:c r="B243" s="11" t="str">
        <x:v>SRC_0049</x:v>
      </x:c>
      <x:c r="C243" s="11" t="str">
        <x:v>Kuruwita_Dev_Plan_E.pdf</x:v>
      </x:c>
      <x:c r="D243" s="22" t="n">
        <x:v>220</x:v>
      </x:c>
      <x:c r="E243" s="11" t="str">
        <x:v>minimum width, plot coverage</x:v>
      </x:c>
      <x:c r="F243" s="11" t="str">
        <x:v>t instead of the area that is part of the street line or proposed road width when calculating the plot coverage percentage. vi. It may be occasionally considered to calculate the permitted development by using the total width of all the roads as the width of the access road when there are multiple roads facing the development area, each of which is connected to the main roads, has a minimum width of 6 meters or more, and has a legal right of access. vii. In cases where a plot of land is shown to fall into two or more zones, the zone falling within that plot is determined by the zone to which the main access road giving access to the plot belongs. If the plot is accessed by two or more roads of the same width, the zone of the larger p || e multiple roads facing the development area, each of which is connected to the main roads, has a minimum width of 6 meters or more, and has a legal right of access. vii. In cases where a plot of land is shown to fall into two or more zones, the zone falling within that plot is determined by the zone to which the main access road giving access to the plot belongs. If the plot is accessed by two or more roads of the same width, the zone of the larger plot should be applied. *This rule does not apply to Conservation Zones. viii. If any piece of land falls between two local government jurisdictions, the authority will determine the use of that piece of land in the main access zone, based on the agreement of the respective local governmen</x:v>
      </x:c>
      <x:c r="G243" s="11" t="str">
        <x:v>candidate_unreviewed</x:v>
      </x:c>
      <x:c r="H243" s="24" t="b">
        <x:v>0</x:v>
      </x:c>
      <x:c r="I243" s="11" t="str">
        <x:v>Keyword extraction only. Read page image and full context before promoting. English search cannot exclude Sinhala/Tamil or image-only content.</x:v>
      </x:c>
    </x:row>
    <x:row r="244" ht="224" customHeight="1">
      <x:c r="A244" s="8" t="str">
        <x:v>C00243</x:v>
      </x:c>
      <x:c r="B244" s="8" t="str">
        <x:v>SRC_0049</x:v>
      </x:c>
      <x:c r="C244" s="8" t="str">
        <x:v>Kuruwita_Dev_Plan_E.pdf</x:v>
      </x:c>
      <x:c r="D244" s="18" t="n">
        <x:v>231</x:v>
      </x:c>
      <x:c r="E244" s="8" t="str">
        <x:v>plot coverage</x:v>
      </x:c>
      <x:c r="F244" s="8" t="str">
        <x:v>should be performed as “A” and “B” mentioned in Schedule II and III under No. 8.3 viii. Maximum plot coverage allowed It should be performed as “B” and “E” mentioned in Schedule II and III under No. 8.3 ix. Open spaces and maximum height It should be performed as “E” mentioned in Schedule III under No. 8.3 x. Minimum Subdivision Area Medium Density Residential Zone Low Density Residential Zone Sq. m. 150 Sq. m. 250 xi. Permitted uses It should be performed as “F” mentioned in Schedule IV under No. 8.3 xii. General regulations for the zone Medium Density Residential Zone I. During the renovation, the historical structures in this zone should only be used for the purposes specified in the same plan. In such circumstances,</x:v>
      </x:c>
      <x:c r="G244" s="8" t="str">
        <x:v>candidate_unreviewed</x:v>
      </x:c>
      <x:c r="H244" s="21" t="b">
        <x:v>0</x:v>
      </x:c>
      <x:c r="I244" s="8" t="str">
        <x:v>Keyword extraction only. Read page image and full context before promoting. English search cannot exclude Sinhala/Tamil or image-only content.</x:v>
      </x:c>
    </x:row>
    <x:row r="245" ht="196" customHeight="1">
      <x:c r="A245" s="11" t="str">
        <x:v>C00244</x:v>
      </x:c>
      <x:c r="B245" s="11" t="str">
        <x:v>SRC_0049</x:v>
      </x:c>
      <x:c r="C245" s="11" t="str">
        <x:v>Kuruwita_Dev_Plan_E.pdf</x:v>
      </x:c>
      <x:c r="D245" s="22" t="n">
        <x:v>233</x:v>
      </x:c>
      <x:c r="E245" s="11" t="str">
        <x:v>plot coverage</x:v>
      </x:c>
      <x:c r="F245" s="11" t="str">
        <x:v>213 viii. Maximum plot coverage allowed It should be performed as “B” and “E” mentioned in Schedule II and III under No. 8.3 ix. Open spaces and maximum height It should be performed as “E” mentioned in Schedule III under No. 8.3 x. Minimum Subdivision Area Sq. m. 150 xi. Permitted uses It should be performed as “F” mentioned in Schedule IV under No. 8.3 xii. General regulations for the zone i. The project activities identified in the commercial zone under the Landscape Management Plan of the Sustainable Environmental Development Plan must be in accordance with that plan. ii. During the renovation of the historical buildings located in</x:v>
      </x:c>
      <x:c r="G245" s="11" t="str">
        <x:v>candidate_unreviewed</x:v>
      </x:c>
      <x:c r="H245" s="24" t="b">
        <x:v>0</x:v>
      </x:c>
      <x:c r="I245" s="11" t="str">
        <x:v>Keyword extraction only. Read page image and full context before promoting. English search cannot exclude Sinhala/Tamil or image-only content.</x:v>
      </x:c>
    </x:row>
    <x:row r="246" ht="84" customHeight="1">
      <x:c r="A246" s="8" t="str">
        <x:v>C00245</x:v>
      </x:c>
      <x:c r="B246" s="8" t="str">
        <x:v>SRC_0049</x:v>
      </x:c>
      <x:c r="C246" s="8" t="str">
        <x:v>Kuruwita_Dev_Plan_E.pdf</x:v>
      </x:c>
      <x:c r="D246" s="18" t="n">
        <x:v>234</x:v>
      </x:c>
      <x:c r="E246" s="8" t="str">
        <x:v>plot coverage</x:v>
      </x:c>
      <x:c r="F246" s="8" t="str">
        <x:v>It should be performed as “A” and “B” mentioned in Schedule I and II under No. 8.3 viii. Maximum plot coverage allowed It should be performed as “B” and “E” mentioned in Schedule II and III under No. 8.3 Chapter 08 Zoning Regulations</x:v>
      </x:c>
      <x:c r="G246" s="8" t="str">
        <x:v>candidate_unreviewed</x:v>
      </x:c>
      <x:c r="H246" s="21" t="b">
        <x:v>0</x:v>
      </x:c>
      <x:c r="I246" s="8" t="str">
        <x:v>Keyword extraction only. Read page image and full context before promoting. English search cannot exclude Sinhala/Tamil or image-only content.</x:v>
      </x:c>
    </x:row>
    <x:row r="247" ht="224" customHeight="1">
      <x:c r="A247" s="11" t="str">
        <x:v>C00246</x:v>
      </x:c>
      <x:c r="B247" s="11" t="str">
        <x:v>SRC_0049</x:v>
      </x:c>
      <x:c r="C247" s="11" t="str">
        <x:v>Kuruwita_Dev_Plan_E.pdf</x:v>
      </x:c>
      <x:c r="D247" s="22" t="n">
        <x:v>236</x:v>
      </x:c>
      <x:c r="E247" s="11" t="str">
        <x:v>plot coverage</x:v>
      </x:c>
      <x:c r="F247" s="11" t="str">
        <x:v>It should be performed as “A” and “B” mentioned in Schedule I and II under No. 8.3 viii. Maximum plot coverage allowed It should be performed as “B” and “E” mentioned in Schedule II and III under No. 8.3 ix. Open spaces and maximum height It should be performed as “E” mentioned in Schedule III under No. 8.3 x. Minimum Subdivision Area Sq. m. 250 xii. Permitted uses It should be performed as “F” mentioned in Schedule IV under No. 8.3 xiii. General regulations for the zone I. Buildings related to tourist activities that are being built in this area should have exterior colors that blend in with the surroundings and non-reflective materials applied to the exterior walls and roof. II. Boundary walls may only be built in the zone</x:v>
      </x:c>
      <x:c r="G247" s="11" t="str">
        <x:v>candidate_unreviewed</x:v>
      </x:c>
      <x:c r="H247" s="24" t="b">
        <x:v>0</x:v>
      </x:c>
      <x:c r="I247" s="11" t="str">
        <x:v>Keyword extraction only. Read page image and full context before promoting. English search cannot exclude Sinhala/Tamil or image-only content.</x:v>
      </x:c>
    </x:row>
    <x:row r="248" ht="70" customHeight="1">
      <x:c r="A248" s="8" t="str">
        <x:v>C00247</x:v>
      </x:c>
      <x:c r="B248" s="8" t="str">
        <x:v>SRC_0049</x:v>
      </x:c>
      <x:c r="C248" s="8" t="str">
        <x:v>Kuruwita_Dev_Plan_E.pdf</x:v>
      </x:c>
      <x:c r="D248" s="18" t="n">
        <x:v>237</x:v>
      </x:c>
      <x:c r="E248" s="8" t="str">
        <x:v>plot coverage</x:v>
      </x:c>
      <x:c r="F248" s="8" t="str">
        <x:v>0 vii. Maximum permissible Floor Area Ratio / Number of Floors Not applicable. viii. Maximum plot coverage allowed Not applicable. Chapter 08 Zoning Regulations</x:v>
      </x:c>
      <x:c r="G248" s="8" t="str">
        <x:v>candidate_unreviewed</x:v>
      </x:c>
      <x:c r="H248" s="21" t="b">
        <x:v>0</x:v>
      </x:c>
      <x:c r="I248" s="8" t="str">
        <x:v>Keyword extraction only. Read page image and full context before promoting. English search cannot exclude Sinhala/Tamil or image-only content.</x:v>
      </x:c>
    </x:row>
    <x:row r="249" ht="70" customHeight="1">
      <x:c r="A249" s="11" t="str">
        <x:v>C00248</x:v>
      </x:c>
      <x:c r="B249" s="11" t="str">
        <x:v>SRC_0049</x:v>
      </x:c>
      <x:c r="C249" s="11" t="str">
        <x:v>Kuruwita_Dev_Plan_E.pdf</x:v>
      </x:c>
      <x:c r="D249" s="22" t="n">
        <x:v>238</x:v>
      </x:c>
      <x:c r="E249" s="11" t="str">
        <x:v>minimum floor area</x:v>
      </x:c>
      <x:c r="F249" s="11" t="str">
        <x:v>inimum area of 500 sq.m. (20 Perches) ▪ Eco-friendly restaurants, lodges, function halls - minimum floor area of 1000 sq.m. (40 Perches) Chapter 08 Zoning Regulations</x:v>
      </x:c>
      <x:c r="G249" s="11" t="str">
        <x:v>candidate_unreviewed</x:v>
      </x:c>
      <x:c r="H249" s="24" t="b">
        <x:v>0</x:v>
      </x:c>
      <x:c r="I249" s="11" t="str">
        <x:v>Keyword extraction only. Read page image and full context before promoting. English search cannot exclude Sinhala/Tamil or image-only content.</x:v>
      </x:c>
    </x:row>
    <x:row r="250" ht="574" customHeight="1">
      <x:c r="A250" s="8" t="str">
        <x:v>C00249</x:v>
      </x:c>
      <x:c r="B250" s="8" t="str">
        <x:v>SRC_0049</x:v>
      </x:c>
      <x:c r="C250" s="8" t="str">
        <x:v>Kuruwita_Dev_Plan_E.pdf</x:v>
      </x:c>
      <x:c r="D250" s="18" t="n">
        <x:v>243</x:v>
      </x:c>
      <x:c r="E250" s="8" t="str">
        <x:v>minimum width</x:v>
      </x:c>
      <x:c r="F250" s="8" t="str">
        <x:v>ne Factor = 0.50 - 0.74 Zone Factor = 0.75-0.99 Zone Factor = 1.00-1.24 Zone Factor = 1.25-1.49 Minimum width of road Minimum width of road Minimum width of road Minimum width of road **6m 9m 12m 15m &amp; More **6m 9m 12m 15m &amp; More **6m 9m 12m 15m &amp; More **6m 9m 12m 15m &amp; More 150 – 250 Less 0.8 0.9 0.9 0.9 1.3 1.3 1.4 1.4 1.6 1.7 1.8 1.9 2.0 2.2 2.3 2.4 250 - 375 Less 0.9 1.0 1.2 1.3 1.3 1.6 1.8 2.0 1.8 2.2 2.4 2.7 2.2 2.7 3.0 3.3 375 - 500 Less 0.9 1.0 1.2 1.4 1.3 1.6 1.9 2.1 1.9 2.2 2.5 2.8 2.3 2.8 3.2 3.4 500 - 750 Less 1.0 1.1 1.3 1.5 1.4 1.7 2.0 2.2 2.0 2.3 2.7 3.0 2.4 3.0 3.4 3.5 750 - 1000 Less 1.0 1.2 1.4 1.7 1.5 1.8 2.2 2.5 2.1 2.4 2.9 3.3 2.6 3 || Zone Factor = 0.75-0.99 Zone Factor = 1.00-1.24 Zone Factor = 1.25-1.49 Minimum width of road Minimum width of road Minimum width of road Minimum width of road **6m 9m 12m 15m &amp; More **6m 9m 12m 15m &amp; More **6m 9m 12m 15m &amp; More **6m 9m 12m 15m &amp; More 150 – 250 Less 0.8 0.9 0.9 0.9 1.3 1.3 1.4 1.4 1.6 1.7 1.8 1.9 2.0 2.2 2.3 2.4 250 - 375 Less 0.9 1.0 1.2 1.3 1.3 1.6 1.8 2.0 1.8 2.2 2.4 2.7 2.2 2.7 3.0 3.3 375 - 500 Less 0.9 1.0 1.2 1.4 1.3 1.6 1.9 2.1 1.9 2.2 2.5 2.8 2.3 2.8 3.2 3.4 500 - 750 Less 1.0 1.1 1.3 1.5 1.4 1.7 2.0 2.2 2.0 2.3 2.7 3.0 2.4 3.0 3.4 3.5 750 - 1000 Less 1.0 1.2 1.4 1.7 1.5 1.8 2.2 2.5 2.1 2.4 2.9 3.3 2.6 3.0 3.6 4.0 1000 - 15 || 99 Zone Factor = 1.00-1.24 Zone Factor = 1.25-1.49 Minimum width of road Minimum width of road Minimum width of road Minimum width of road **6m 9m 12m 15m &amp; More **6m 9m 12m 15m &amp; More **6m 9m 12m 15m &amp; More **6m 9m 12m 15m &amp; More 150 – 250 Less 0.8 0.9 0.9 0.9 1.3 1.3 1.4 1.4 1.6 1.7 1.8 1.9 2.0 2.2 2.3 2.4 250 - 375 Less 0.9 1.0 1.2 1.3 1.3 1.6 1.8 2.0 1.8 2.2 2.4 2.7 2.2 2.7 3.0 3.3 375 - 500 Less 0.9 1.0 1.2 1.4 1.3 1.6 1.9 2.1 1.9 2.2 2.5 2.8 2.3 2.8 3.2 3.4 500 - 750 Less 1.0 1.1 1.3 1.5 1.4 1.7 2.0 2.2 2.0 2.3 2.7 3.0 2.4 3.0 3.4 3.5 750 - 1000 Less 1.0 1.2 1.4 1.7 1.5 1.8 2.2 2.5 2.1 2.4 2.9 3.3 2.6 3.0 3.6 4.0 1000 - 1500 Less 1.1 1.3 1.5</x:v>
      </x:c>
      <x:c r="G250" s="8" t="str">
        <x:v>candidate_unreviewed</x:v>
      </x:c>
      <x:c r="H250" s="21" t="b">
        <x:v>0</x:v>
      </x:c>
      <x:c r="I250" s="8" t="str">
        <x:v>Keyword extraction only. Read page image and full context before promoting. English search cannot exclude Sinhala/Tamil or image-only content.</x:v>
      </x:c>
    </x:row>
    <x:row r="251" ht="574" customHeight="1">
      <x:c r="A251" s="11" t="str">
        <x:v>C00250</x:v>
      </x:c>
      <x:c r="B251" s="11" t="str">
        <x:v>SRC_0049</x:v>
      </x:c>
      <x:c r="C251" s="11" t="str">
        <x:v>Kuruwita_Dev_Plan_E.pdf</x:v>
      </x:c>
      <x:c r="D251" s="22" t="n">
        <x:v>244</x:v>
      </x:c>
      <x:c r="E251" s="11" t="str">
        <x:v>minimum width</x:v>
      </x:c>
      <x:c r="F251" s="11" t="str">
        <x:v>ne Factor = 1.50 - 1.74 Zone Factor = 1.75-1.99 Zone Factor = 2.00-2.24 Zone Factor = 2.25-2.49 Minimum width of road Minimum width of road Minimum width of road Minimum width of road **6m 9m 12m 15m &amp; More **6m 9m 12m 15m &amp; More **6m 9m 12m 15m &amp; More **6m 9m 12m 15m &amp; More 150 – 250 Less 2.4 2.6 2.7 2.8 2.8 3.0 3.2 3.3 3.0 3.4 3.6 3.8 3.0 3.4 3.6 4.0 250 - 375 Less 2.6 3.2 3.6 4.0 3.0 3.4 4.3 4.7 3.2 3.6 4.5 4.5 3.5 3.8 4.5 5.0 375 - 500 Less 2.7 3.3 3.8 4.2 3.2 3.5 4.5 5.0 3.4 3.7 4.8 5.2 3.6 4.5 4.7 5.5 500 - 750 Less 2.8 3.4 4.0 4.5 3.4 3.6 4.7 5.5 3.5 4.0 5.0 6.0 3.7 5.0 5.0 6.0 750 - 1000 Less 3.1 3.6 4.3 5.0 3.5 3.8 5.1 6.0 3.6 4.5 5.7 6.5 3.8 5 || Zone Factor = 1.75-1.99 Zone Factor = 2.00-2.24 Zone Factor = 2.25-2.49 Minimum width of road Minimum width of road Minimum width of road Minimum width of road **6m 9m 12m 15m &amp; More **6m 9m 12m 15m &amp; More **6m 9m 12m 15m &amp; More **6m 9m 12m 15m &amp; More 150 – 250 Less 2.4 2.6 2.7 2.8 2.8 3.0 3.2 3.3 3.0 3.4 3.6 3.8 3.0 3.4 3.6 4.0 250 - 375 Less 2.6 3.2 3.6 4.0 3.0 3.4 4.3 4.7 3.2 3.6 4.5 4.5 3.5 3.8 4.5 5.0 375 - 500 Less 2.7 3.3 3.8 4.2 3.2 3.5 4.5 5.0 3.4 3.7 4.8 5.2 3.6 4.5 4.7 5.5 500 - 750 Less 2.8 3.4 4.0 4.5 3.4 3.6 4.7 5.5 3.5 4.0 5.0 6.0 3.7 5.0 5.0 6.0 750 - 1000 Less 3.1 3.6 4.3 5.0 3.5 3.8 5.1 6.0 3.6 4.5 5.7 6.5 3.8 5.1 6.0 6.5 1000 - 15 || 99 Zone Factor = 2.00-2.24 Zone Factor = 2.25-2.49 Minimum width of road Minimum width of road Minimum width of road Minimum width of road **6m 9m 12m 15m &amp; More **6m 9m 12m 15m &amp; More **6m 9m 12m 15m &amp; More **6m 9m 12m 15m &amp; More 150 – 250 Less 2.4 2.6 2.7 2.8 2.8 3.0 3.2 3.3 3.0 3.4 3.6 3.8 3.0 3.4 3.6 4.0 250 - 375 Less 2.6 3.2 3.6 4.0 3.0 3.4 4.3 4.7 3.2 3.6 4.5 4.5 3.5 3.8 4.5 5.0 375 - 500 Less 2.7 3.3 3.8 4.2 3.2 3.5 4.5 5.0 3.4 3.7 4.8 5.2 3.6 4.5 4.7 5.5 500 - 750 Less 2.8 3.4 4.0 4.5 3.4 3.6 4.7 5.5 3.5 4.0 5.0 6.0 3.7 5.0 5.0 6.0 750 - 1000 Less 3.1 3.6 4.3 5.0 3.5 3.8 5.1 6.0 3.6 4.5 5.7 6.5 3.8 5.1 6.0 6.5 1000 - 1500 Less 3.2 3.8 4.6</x:v>
      </x:c>
      <x:c r="G251" s="11" t="str">
        <x:v>candidate_unreviewed</x:v>
      </x:c>
      <x:c r="H251" s="24" t="b">
        <x:v>0</x:v>
      </x:c>
      <x:c r="I251" s="11" t="str">
        <x:v>Keyword extraction only. Read page image and full context before promoting. English search cannot exclude Sinhala/Tamil or image-only content.</x:v>
      </x:c>
    </x:row>
    <x:row r="252" ht="574" customHeight="1">
      <x:c r="A252" s="8" t="str">
        <x:v>C00251</x:v>
      </x:c>
      <x:c r="B252" s="8" t="str">
        <x:v>SRC_0049</x:v>
      </x:c>
      <x:c r="C252" s="8" t="str">
        <x:v>Kuruwita_Dev_Plan_E.pdf</x:v>
      </x:c>
      <x:c r="D252" s="18" t="n">
        <x:v>245</x:v>
      </x:c>
      <x:c r="E252" s="8" t="str">
        <x:v>minimum width</x:v>
      </x:c>
      <x:c r="F252" s="8" t="str">
        <x:v>Zone Factor = 2.50-2.74 Zone Factor = 2.75-2.99 Zone Factor = 3.00-3.24 Zone Factor = 3.25-3.49 Minimum width of road Minimum width of road Minimum width of road Minimum width of road **6m 9m 12m 15m &amp; More **6m 9m 12m 15m &amp; More **6m 9m 12m 15m &amp; More **6m 9m 12m 15m &amp; More 150 – 250 Less 3.0 3.4 3.6 4.0 3.0 3.4 3.6 4.0 3.0 3.4 3.6 4.0 3.0 3.4 3.6 4.0 250 - 375 Less 3.5 4.0 5.0 5.5 3.5 4.2 5.0 5.5 3.5 4.4 5.0 5.5 3.5 4.6 5.0 5.5 375 - 500 Less 3.6 4.6 5.2 6.0 3.6 4.7 5.2 6.0 3.6 4.8 5.2 6.0 3.6 4.9 5.2 6.0 500 - 750 Less 3.7 5.1 5.5 6.5 3.7 5.2 5.5 6.5 3.7 5.3 5.5 6.5 3.8 5.4 5.5 6.5 750 - 1000 Less 3.8 5.2 6.5 7.0 3.8 5.3 7.0 7.5 3.8 5.4 7.0 7.5 4.0 5 || Zone Factor = 2.75-2.99 Zone Factor = 3.00-3.24 Zone Factor = 3.25-3.49 Minimum width of road Minimum width of road Minimum width of road Minimum width of road **6m 9m 12m 15m &amp; More **6m 9m 12m 15m &amp; More **6m 9m 12m 15m &amp; More **6m 9m 12m 15m &amp; More 150 – 250 Less 3.0 3.4 3.6 4.0 3.0 3.4 3.6 4.0 3.0 3.4 3.6 4.0 3.0 3.4 3.6 4.0 250 - 375 Less 3.5 4.0 5.0 5.5 3.5 4.2 5.0 5.5 3.5 4.4 5.0 5.5 3.5 4.6 5.0 5.5 375 - 500 Less 3.6 4.6 5.2 6.0 3.6 4.7 5.2 6.0 3.6 4.8 5.2 6.0 3.6 4.9 5.2 6.0 500 - 750 Less 3.7 5.1 5.5 6.5 3.7 5.2 5.5 6.5 3.7 5.3 5.5 6.5 3.8 5.4 5.5 6.5 750 - 1000 Less 3.8 5.2 6.5 7.0 3.8 5.3 7.0 7.5 3.8 5.4 7.0 7.5 4.0 5.5 7.5 8.0 1000 - 15 || 99 Zone Factor = 3.00-3.24 Zone Factor = 3.25-3.49 Minimum width of road Minimum width of road Minimum width of road Minimum width of road **6m 9m 12m 15m &amp; More **6m 9m 12m 15m &amp; More **6m 9m 12m 15m &amp; More **6m 9m 12m 15m &amp; More 150 – 250 Less 3.0 3.4 3.6 4.0 3.0 3.4 3.6 4.0 3.0 3.4 3.6 4.0 3.0 3.4 3.6 4.0 250 - 375 Less 3.5 4.0 5.0 5.5 3.5 4.2 5.0 5.5 3.5 4.4 5.0 5.5 3.5 4.6 5.0 5.5 375 - 500 Less 3.6 4.6 5.2 6.0 3.6 4.7 5.2 6.0 3.6 4.8 5.2 6.0 3.6 4.9 5.2 6.0 500 - 750 Less 3.7 5.1 5.5 6.5 3.7 5.2 5.5 6.5 3.7 5.3 5.5 6.5 3.8 5.4 5.5 6.5 750 - 1000 Less 3.8 5.2 6.5 7.0 3.8 5.3 7.0 7.5 3.8 5.4 7.0 7.5 4.0 5.5 7.5 8.0 1000 - 1500 Less 3.9 5.4 7.0</x:v>
      </x:c>
      <x:c r="G252" s="8" t="str">
        <x:v>candidate_unreviewed</x:v>
      </x:c>
      <x:c r="H252" s="21" t="b">
        <x:v>0</x:v>
      </x:c>
      <x:c r="I252" s="8" t="str">
        <x:v>Keyword extraction only. Read page image and full context before promoting. English search cannot exclude Sinhala/Tamil or image-only content.</x:v>
      </x:c>
    </x:row>
    <x:row r="253" ht="602" customHeight="1">
      <x:c r="A253" s="11" t="str">
        <x:v>C00252</x:v>
      </x:c>
      <x:c r="B253" s="11" t="str">
        <x:v>SRC_0049</x:v>
      </x:c>
      <x:c r="C253" s="11" t="str">
        <x:v>Kuruwita_Dev_Plan_E.pdf</x:v>
      </x:c>
      <x:c r="D253" s="22" t="n">
        <x:v>246</x:v>
      </x:c>
      <x:c r="E253" s="11" t="str">
        <x:v>minimum width, plot coverage, setback</x:v>
      </x:c>
      <x:c r="F253" s="11" t="str">
        <x:v>ed * A bearing ratio of 10.0 or more is permitted only for access roads with a minimum building setback of 12 meters (from the center of the road). Otherwise the maximum Plot Coverage Ratio should be limited to 9.0. ** Minimum road width is considered as 7 meters for roads identified as 7 meters wide in the development plan. Minimum width of road Minimum width of road **6m 9m 12m 15 m &amp; More **6m 9m 12m 15 m &amp; More 150 – 250 Less 3.0 3.4 3.6 4.0 3.0 3.4 3.6 4.0 250 - 375 Less 3.5 4.8 5.0 5.5 3.5 5.0 5.0 5.5 375 - 500 Less 3.6 5.0 5.2 6.0 3.6 5.4 5.2 6.0 500 - 750 Less 3.8 5.5 5.5 6.5 4.0 5.7 5.5 6.5 750 - 1000 Less 4.0 5.6 7.5 8.0 4.5 6.0 7.5 8.0 1000 - 1500 Less 4.2 5.8 8.0 9.0 4 || with a minimum building setback of 12 meters (from the center of the road). Otherwise the maximum Plot Coverage Ratio should be limited to 9.0. ** Minimum road width is considered as 7 meters for roads identified as 7 meters wide in the development plan. Minimum width of road Minimum width of road **6m 9m 12m 15 m &amp; More **6m 9m 12m 15 m &amp; More 150 – 250 Less 3.0 3.4 3.6 4.0 3.0 3.4 3.6 4.0 250 - 375 Less 3.5 4.8 5.0 5.5 3.5 5.0 5.0 5.5 375 - 500 Less 3.6 5.0 5.2 6.0 3.6 5.4 5.2 6.0 500 - 750 Less 3.8 5.5 5.5 6.5 4.0 5.7 5.5 6.5 750 - 1000 Less 4.0 5.6 7.5 8.0 4.5 6.0 7.5 8.0 1000 - 1500 Less 4.2 5.8 8.0 9.0 4.5 6.5 8.0 9.0 1500 - 2000 Less 4.2 6.0 8.0 *11 4.5 7.0 8.0 *11 2000 || ad width is considered as 7 meters for roads identified as 7 meters wide in the development plan. Minimum width of road Minimum width of road **6m 9m 12m 15 m &amp; More **6m 9m 12m 15 m &amp; More 150 – 250 Less 3.0 3.4 3.6 4.0 3.0 3.4 3.6 4.0 250 - 375 Less 3.5 4.8 5.0 5.5 3.5 5.0 5.0 5.5 375 - 500 Less 3.6 5.0 5.2 6.0 3.6 5.4 5.2 6.0 500 - 750 Less 3.8 5.5 5.5 6.5 4.0 5.7 5.5 6.5 750 - 1000 Less 4.0 5.6 7.5 8.0 4.5 6.0 7.5 8.0 1000 - 1500 Less 4.2 5.8 8.0 9.0 4.5 6.5 8.0 9.0 1500 - 2000 Less 4.2 6.0 8.0 *11 4.5 7.0 8.0 *11 2000 - 2500 Less 4.2 6.2 8.0 *11.5 4.5 7.0 8.0 *12 2500 - 3000 Less 4.2 6.4 8.0 *12 4.5 7.0 8.0 *12 3000 - 3500 Less 4.2 6.5 8.0 *12 4.5 7.0</x:v>
      </x:c>
      <x:c r="G253" s="11" t="str">
        <x:v>candidate_unreviewed</x:v>
      </x:c>
      <x:c r="H253" s="24" t="b">
        <x:v>0</x:v>
      </x:c>
      <x:c r="I253" s="11" t="str">
        <x:v>Keyword extraction only. Read page image and full context before promoting. English search cannot exclude Sinhala/Tamil or image-only content.</x:v>
      </x:c>
    </x:row>
    <x:row r="254" ht="504" customHeight="1">
      <x:c r="A254" s="8" t="str">
        <x:v>C00253</x:v>
      </x:c>
      <x:c r="B254" s="8" t="str">
        <x:v>SRC_0049</x:v>
      </x:c>
      <x:c r="C254" s="8" t="str">
        <x:v>Kuruwita_Dev_Plan_E.pdf</x:v>
      </x:c>
      <x:c r="D254" s="18" t="n">
        <x:v>247</x:v>
      </x:c>
      <x:c r="E254" s="8" t="str">
        <x:v>minimum width, plot coverage</x:v>
      </x:c>
      <x:c r="F254" s="8" t="str">
        <x:v>t Authority vide Gazette No. 2235/54 dated 08/07/2021 Number of Floors for 3 and 4.5 meter roads Minimum width of road Minimum width of frontage of land Plot Coverage Percentage* Maximum Number of Floors Zone Factor 0.5 - 0.74 Zone Factor 0.75 - 1.24 Zone Factor 1.25 - 3.49 Zone Factor 3.50 - 4.00 3.0 m 6 m 65% 1 (G) 2 (G+1) 3 (G+2) 3 (G+2) 4.5 m 6 m 65% 1 (G) 2 (G+1) 3 (G+2) 4 (G+3) The number of floors are given above including parking spaces The number of housing units for each route will not change * In cases where plot coverage percentages are not specified under zoning regulations 227 || No. 2235/54 dated 08/07/2021 Number of Floors for 3 and 4.5 meter roads Minimum width of road Minimum width of frontage of land Plot Coverage Percentage* Maximum Number of Floors Zone Factor 0.5 - 0.74 Zone Factor 0.75 - 1.24 Zone Factor 1.25 - 3.49 Zone Factor 3.50 - 4.00 3.0 m 6 m 65% 1 (G) 2 (G+1) 3 (G+2) 3 (G+2) 4.5 m 6 m 65% 1 (G) 2 (G+1) 3 (G+2) 4 (G+3) The number of floors are given above including parking spaces The number of housing units for each route will not change * In cases where plot coverage percentages are not specified under zoning regulations 227 || er of Floors for 3 and 4.5 meter roads Minimum width of road Minimum width of frontage of land Plot Coverage Percentage* Maximum Number of Floors Zone Factor 0.5 - 0.74 Zone Factor 0.75 - 1.24 Zone Factor 1.25 - 3.49 Zone Factor 3.50 - 4.00 3.0 m 6 m 65% 1 (G) 2 (G+1) 3 (G+2) 3 (G+2) 4.5 m 6 m 65% 1 (G) 2 (G+1) 3 (G+2) 4 (G+3) The number of floors are given above including parking spaces The number of housing units for each route will not change * In cases where plot coverage percentages are not specified under zoning regulations 227</x:v>
      </x:c>
      <x:c r="G254" s="8" t="str">
        <x:v>candidate_unreviewed</x:v>
      </x:c>
      <x:c r="H254" s="21" t="b">
        <x:v>0</x:v>
      </x:c>
      <x:c r="I254" s="8" t="str">
        <x:v>Keyword extraction only. Read page image and full context before promoting. English search cannot exclude Sinhala/Tamil or image-only content.</x:v>
      </x:c>
    </x:row>
    <x:row r="255" ht="336" customHeight="1">
      <x:c r="A255" s="11" t="str">
        <x:v>C00254</x:v>
      </x:c>
      <x:c r="B255" s="11" t="str">
        <x:v>SRC_0049</x:v>
      </x:c>
      <x:c r="C255" s="11" t="str">
        <x:v>Kuruwita_Dev_Plan_E.pdf</x:v>
      </x:c>
      <x:c r="D255" s="22" t="n">
        <x:v>248</x:v>
      </x:c>
      <x:c r="E255" s="11" t="str">
        <x:v>plot coverage</x:v>
      </x:c>
      <x:c r="F255" s="11" t="str">
        <x:v>07/2021 "E" form - Open Spaces Building height (m) Minimu m Width of Land Frontage (Meters) Plot Coverage Percentage* Rear Space (m) Side Space (m) For walls that allow natural light and ventilation Non- Reside ntial Reside ntial When this side does not get natural light and ventilation (m) While getting natural light and ventilation from this end (m) When this side does not get natural light and ventilation While getting natural light and ventilation from this end (m) Minim um Width (m) Minimum Floor Area (Sq. m.) 7 Less 6 80%** 65% 2.3 2.3 - 2.3 2.3 5 7 – 15 Less 6 65% 65% 3.0 3.0 - 3.0 3.0 9 15 – 30 Less 12 65% 65% 4.0 4.0 1.0 m &amp; 3.0 m 4.0 4.0 16 30 – 50 Less || the access road to the level of the top floor or roof (including parking floors). * In cases where plot coverage percentages are not specified under zoning regulations ** For fully non-residential development works *** 65% coverage percentage can be allowed only for the Podium level not exceeding 20% of the building height or 12 floors whichever is less. **** Minimum area shall be increased by 1 square meter for every additional 3 meter height 228</x:v>
      </x:c>
      <x:c r="G255" s="11" t="str">
        <x:v>candidate_unreviewed</x:v>
      </x:c>
      <x:c r="H255" s="24" t="b">
        <x:v>0</x:v>
      </x:c>
      <x:c r="I255" s="11" t="str">
        <x:v>Keyword extraction only. Read page image and full context before promoting. English search cannot exclude Sinhala/Tamil or image-only content.</x:v>
      </x:c>
    </x:row>
    <x:row r="256" ht="168" customHeight="1">
      <x:c r="A256" s="8" t="str">
        <x:v>C00255</x:v>
      </x:c>
      <x:c r="B256" s="8" t="str">
        <x:v>SRC_0049</x:v>
      </x:c>
      <x:c r="C256" s="8" t="str">
        <x:v>Kuruwita_Dev_Plan_E.pdf</x:v>
      </x:c>
      <x:c r="D256" s="18" t="n">
        <x:v>249</x:v>
      </x:c>
      <x:c r="E256" s="8" t="str">
        <x:v>minimum floor area</x:v>
      </x:c>
      <x:c r="F256" s="8" t="str">
        <x:v>22 Schedule IV- Form "F": Minimum Floor Area applicable to approved uses Main use No. Sub-Use Minimum Plot Size (Sq. Meters) High Density Commercial zone Medium Density Mixed Development Zone Low Density Mixed Development Zone Low Density Tourism zone Medium Density Residential Zone Low Density Residential Zone Agricultural Zone Residential 1 Housing 150 150 150 250 250 150 250 2 Condominium housing complexes 150 150 150 250 250 150 250 3 Housing complexes 500 4 Housing projects 1000 5 Quarters/Staff Quarters 250 6 Service Apartments 500 7</x:v>
      </x:c>
      <x:c r="G256" s="8" t="str">
        <x:v>candidate_unreviewed</x:v>
      </x:c>
      <x:c r="H256" s="21" t="b">
        <x:v>0</x:v>
      </x:c>
      <x:c r="I256" s="8" t="str">
        <x:v>Keyword extraction only. Read page image and full context before promoting. English search cannot exclude Sinhala/Tamil or image-only content.</x:v>
      </x:c>
    </x:row>
    <x:row r="257" ht="126" customHeight="1">
      <x:c r="A257" s="11" t="str">
        <x:v>C00256</x:v>
      </x:c>
      <x:c r="B257" s="11" t="str">
        <x:v>SRC_0049</x:v>
      </x:c>
      <x:c r="C257" s="11" t="str">
        <x:v>Kuruwita_Dev_Plan_E.pdf</x:v>
      </x:c>
      <x:c r="D257" s="22" t="n">
        <x:v>262</x:v>
      </x:c>
      <x:c r="E257" s="11" t="str">
        <x:v>minimum floor area</x:v>
      </x:c>
      <x:c r="F257" s="11" t="str">
        <x:v>0 square meters ** Maximum Floor Area is 100 square meters M.P.S. Minimum Plot Size NB: The minimum floor area noted in column 4 of the table is appropriate, particularly when the minimum floor area is not defined in the zones 242 || NB: The minimum floor area noted in column 4 of the table is appropriate, particularly when the minimum floor area is not defined in the zones 242</x:v>
      </x:c>
      <x:c r="G257" s="11" t="str">
        <x:v>candidate_unreviewed</x:v>
      </x:c>
      <x:c r="H257" s="24" t="b">
        <x:v>0</x:v>
      </x:c>
      <x:c r="I257" s="11" t="str">
        <x:v>Keyword extraction only. Read page image and full context before promoting. English search cannot exclude Sinhala/Tamil or image-only content.</x:v>
      </x:c>
    </x:row>
    <x:row r="258" ht="98" customHeight="1">
      <x:c r="A258" s="8" t="str">
        <x:v>C00257</x:v>
      </x:c>
      <x:c r="B258" s="8" t="str">
        <x:v>SRC_0051</x:v>
      </x:c>
      <x:c r="C258" s="8" t="str">
        <x:v>Maharagama.zip::Maharagama/Maharagama_Regulations.pdf</x:v>
      </x:c>
      <x:c r="D258" s="18" t="n">
        <x:v>5</x:v>
      </x:c>
      <x:c r="E258" s="8" t="str">
        <x:v>plot coverage</x:v>
      </x:c>
      <x:c r="F258" s="8" t="str">
        <x:v>ional Institutions with a minimum Plot size 1000 sq.m (40 p) Minimum Plot Size 150 sq.m.( 6p ) Plot Coverage As per the form “ C “ in vol. II FAR As per the form “ C ” in volume II Parking Parking should be provided within the premises to satisfy vol. II of Schedule III in volume II</x:v>
      </x:c>
      <x:c r="G258" s="8" t="str">
        <x:v>candidate_unreviewed</x:v>
      </x:c>
      <x:c r="H258" s="21" t="b">
        <x:v>0</x:v>
      </x:c>
      <x:c r="I258" s="8" t="str">
        <x:v>Keyword extraction only. Read page image and full context before promoting. English search cannot exclude Sinhala/Tamil or image-only content.</x:v>
      </x:c>
    </x:row>
    <x:row r="259" ht="420" customHeight="1">
      <x:c r="A259" s="11" t="str">
        <x:v>C00258</x:v>
      </x:c>
      <x:c r="B259" s="11" t="str">
        <x:v>SRC_0051</x:v>
      </x:c>
      <x:c r="C259" s="11" t="str">
        <x:v>Maharagama.zip::Maharagama/Maharagama_Regulations.pdf</x:v>
      </x:c>
      <x:c r="D259" s="22" t="n">
        <x:v>7</x:v>
      </x:c>
      <x:c r="E259" s="11" t="str">
        <x:v>plot coverage</x:v>
      </x:c>
      <x:c r="F259" s="11" t="str">
        <x:v>ers with a minimum Plot Size 1000sq.m j). Community hall. Minimum Plot Size 250 sq.m.( 10p ) Plot Coverage - FAR - Parking As per the schedule III of vol. II. Notes i. Preliminary Planning Clearance should be obtained from Urban Development Authority. ii.Parliament Clearance should be obtain from Secretary General of Parliament (If such requirement is mentioned in the planning clearance of the Urban Development Authority ) iii.Plot coverage, Floor area, Height of the building and Open area requirement around the building shall be determined by the planning clearance of the Urban Development Authority. iv.When the site is not a new sub division, the site extent is less than the Mention in the regulati || uch requirement is mentioned in the planning clearance of the Urban Development Authority ) iii.Plot coverage, Floor area, Height of the building and Open area requirement around the building shall be determined by the planning clearance of the Urban Development Authority. iv.When the site is not a new sub division, the site extent is less than the Mention in the regulation shall be permitted for development. v.Such use is in harmony with the character of the area, will not interfere with the amenity of the area or adversely affect the environment of the surrounding area or loss of privacy, pollution or any other manner and is not likely to cause nuisance. vi.Such use will not hinder traffic moveme</x:v>
      </x:c>
      <x:c r="G259" s="11" t="str">
        <x:v>candidate_unreviewed</x:v>
      </x:c>
      <x:c r="H259" s="24" t="b">
        <x:v>0</x:v>
      </x:c>
      <x:c r="I259" s="11" t="str">
        <x:v>Keyword extraction only. Read page image and full context before promoting. English search cannot exclude Sinhala/Tamil or image-only content.</x:v>
      </x:c>
    </x:row>
    <x:row r="260" ht="182" customHeight="1">
      <x:c r="A260" s="8" t="str">
        <x:v>C00259</x:v>
      </x:c>
      <x:c r="B260" s="8" t="str">
        <x:v>SRC_0051</x:v>
      </x:c>
      <x:c r="C260" s="8" t="str">
        <x:v>Maharagama.zip::Maharagama/Maharagama_Regulations.pdf</x:v>
      </x:c>
      <x:c r="D260" s="18" t="n">
        <x:v>8</x:v>
      </x:c>
      <x:c r="E260" s="8" t="str">
        <x:v>plot coverage</x:v>
      </x:c>
      <x:c r="F260" s="8" t="str">
        <x:v>mum plot size 250sq.m.(Floor area not exceeding 150 sq.m. ) Minimum Plot Size 150sq.m.( 6p ) Plot Coverage As per the form “ C “ in vol. II FAR 1:3.0 Parking Parking facilities should be provided within the site as per the schedule III of vol. II. Notes i. Filing Station can be considered if such land is facing to the 40’wide road. ii Such use is in harmony with the character of the area, will not interfere with the amenity of the area or adversely affect the environment of the surrounding area or loss of privacy, pollution or any other manner and is not likely to cause nuisance.</x:v>
      </x:c>
      <x:c r="G260" s="8" t="str">
        <x:v>candidate_unreviewed</x:v>
      </x:c>
      <x:c r="H260" s="21" t="b">
        <x:v>0</x:v>
      </x:c>
      <x:c r="I260" s="8" t="str">
        <x:v>Keyword extraction only. Read page image and full context before promoting. English search cannot exclude Sinhala/Tamil or image-only content.</x:v>
      </x:c>
    </x:row>
    <x:row r="261" ht="224" customHeight="1">
      <x:c r="A261" s="11" t="str">
        <x:v>C00260</x:v>
      </x:c>
      <x:c r="B261" s="11" t="str">
        <x:v>SRC_0051</x:v>
      </x:c>
      <x:c r="C261" s="11" t="str">
        <x:v>Maharagama.zip::Maharagama/Maharagama_Regulations.pdf</x:v>
      </x:c>
      <x:c r="D261" s="22" t="n">
        <x:v>9</x:v>
      </x:c>
      <x:c r="E261" s="11" t="str">
        <x:v>plot coverage</x:v>
      </x:c>
      <x:c r="F261" s="11" t="str">
        <x:v>lity services. h). Parks and play Ground. Minimum Plot Size As per the form “ C “ in vol. II Plot Coverage As per the form “ C “ in vol. II FAR As per the form “ C “ in vol. II Parking Parking requirements should be provided within the premises. As per the Schedule III of vol. II Notes i. 1m wide strip should be allocated and maintained parallel to access road for landscaping. ii. Conversion of residential building will be accepted with out charges for institutional and related activities. iii Such use is in harmony with the character of the area, will not interfere with the amenity of the area or adversely affect the environment of the surrounding area or loss of privacy, pollution or any other manner and</x:v>
      </x:c>
      <x:c r="G261" s="11" t="str">
        <x:v>candidate_unreviewed</x:v>
      </x:c>
      <x:c r="H261" s="24" t="b">
        <x:v>0</x:v>
      </x:c>
      <x:c r="I261" s="11" t="str">
        <x:v>Keyword extraction only. Read page image and full context before promoting. English search cannot exclude Sinhala/Tamil or image-only content.</x:v>
      </x:c>
    </x:row>
    <x:row r="262" ht="182" customHeight="1">
      <x:c r="A262" s="8" t="str">
        <x:v>C00261</x:v>
      </x:c>
      <x:c r="B262" s="8" t="str">
        <x:v>SRC_0051</x:v>
      </x:c>
      <x:c r="C262" s="8" t="str">
        <x:v>Maharagama.zip::Maharagama/Maharagama_Regulations.pdf</x:v>
      </x:c>
      <x:c r="D262" s="18" t="n">
        <x:v>10</x:v>
      </x:c>
      <x:c r="E262" s="8" t="str">
        <x:v>plot coverage</x:v>
      </x:c>
      <x:c r="F262" s="8" t="str">
        <x:v>40 p) v). Retail shops with a minimum Plot size 150 sq.m (6 p) Minimum Plot Size 150sq.m.( 6p ) Plot Coverage As per the form “ C “ in Vol. II FAR As per the form “ C “ in Vol. II Parking Parking facilities should be provided within the site Notes i. Conversion of residential buildings will be permitted without charges. ii.Such use is in harmony with the character of the area, will not interfere with the amenity of the area or adversely affect the environment of the surrounding area or loss of privacy, pollution or any other manner and is not likely to cause nuisance.</x:v>
      </x:c>
      <x:c r="G262" s="8" t="str">
        <x:v>candidate_unreviewed</x:v>
      </x:c>
      <x:c r="H262" s="21" t="b">
        <x:v>0</x:v>
      </x:c>
      <x:c r="I262" s="8" t="str">
        <x:v>Keyword extraction only. Read page image and full context before promoting. English search cannot exclude Sinhala/Tamil or image-only content.</x:v>
      </x:c>
    </x:row>
    <x:row r="263" ht="154" customHeight="1">
      <x:c r="A263" s="11" t="str">
        <x:v>C00262</x:v>
      </x:c>
      <x:c r="B263" s="11" t="str">
        <x:v>SRC_0051</x:v>
      </x:c>
      <x:c r="C263" s="11" t="str">
        <x:v>Maharagama.zip::Maharagama/Maharagama_Regulations.pdf</x:v>
      </x:c>
      <x:c r="D263" s="22" t="n">
        <x:v>11</x:v>
      </x:c>
      <x:c r="E263" s="11" t="str">
        <x:v>plot coverage</x:v>
      </x:c>
      <x:c r="F263" s="11" t="str">
        <x:v>luding dairies and grazing , except all other forms of animal husbandry Minimum Plot Size - Plot Coverage - FAR - Parking - Notes No buildings shall be allowed. Flood storage capacity shall be maintained in accordance with a Master Plan approved by the SLLR&amp;DC. Maximum permitted fill area , if needed for road , vehicle parking , toilets , and sewage disposal ,shall be 2% of the site area or an area determined in a Master Plan approved by the SLLR&amp;DC,whichever is less.</x:v>
      </x:c>
      <x:c r="G263" s="11" t="str">
        <x:v>candidate_unreviewed</x:v>
      </x:c>
      <x:c r="H263" s="24" t="b">
        <x:v>0</x:v>
      </x:c>
      <x:c r="I263" s="11" t="str">
        <x:v>Keyword extraction only. Read page image and full context before promoting. English search cannot exclude Sinhala/Tamil or image-only content.</x:v>
      </x:c>
    </x:row>
    <x:row r="264" ht="224" customHeight="1">
      <x:c r="A264" s="8" t="str">
        <x:v>C00263</x:v>
      </x:c>
      <x:c r="B264" s="8" t="str">
        <x:v>SRC_0051</x:v>
      </x:c>
      <x:c r="C264" s="8" t="str">
        <x:v>Maharagama.zip::Maharagama/Maharagama_Regulations.pdf</x:v>
      </x:c>
      <x:c r="D264" s="18" t="n">
        <x:v>12</x:v>
      </x:c>
      <x:c r="E264" s="8" t="str">
        <x:v>plot coverage</x:v>
      </x:c>
      <x:c r="F264" s="8" t="str">
        <x:v>ng centers g). Important public infrastructure projects. Minimum Plot Size 1 ha. (2.5 acres) Plot Coverage - FAR - Parking - Notes Minimum plot size shall be 1 ha(2.5 acres) Maximum area for filling shall be 2 % of the site or an area specified in a storm water management Master Plan approved by the SLLR&amp;DC,whichever is less. Maximum area permitted for infrastructure, shall be 4 % of the site area.(This may include sewage treatment plant) All buildings except toilets shall be on stilts in wetland. They shall be isolated or in aesthetically pleasing clusters, with visually compatible , attractive “Roof spaces” .They shall not block view of the open area from adjoin public roads , other public areas and they should be env</x:v>
      </x:c>
      <x:c r="G264" s="8" t="str">
        <x:v>candidate_unreviewed</x:v>
      </x:c>
      <x:c r="H264" s="21" t="b">
        <x:v>0</x:v>
      </x:c>
      <x:c r="I264" s="8" t="str">
        <x:v>Keyword extraction only. Read page image and full context before promoting. English search cannot exclude Sinhala/Tamil or image-only content.</x:v>
      </x:c>
    </x:row>
    <x:row r="265" ht="182" customHeight="1">
      <x:c r="A265" s="11" t="str">
        <x:v>C00264</x:v>
      </x:c>
      <x:c r="B265" s="11" t="str">
        <x:v>SRC_0051</x:v>
      </x:c>
      <x:c r="C265" s="11" t="str">
        <x:v>Maharagama.zip::Maharagama/Maharagama_Regulations.pdf</x:v>
      </x:c>
      <x:c r="D265" s="22" t="n">
        <x:v>13</x:v>
      </x:c>
      <x:c r="E265" s="11" t="str">
        <x:v>plot coverage</x:v>
      </x:c>
      <x:c r="F265" s="11" t="str">
        <x:v>ent of Agrarian Services ,GS&amp;MB , RDA , UDA &amp; relate Local Authority. Minimum Plot Size - Plot Coverage - FAR - Parking - Notes Preliminary Planning Clearance should be obtained from UDA. Flood storage capacity shall be maintained in accordance with a Master Plan approved by the SLLR&amp;DC. Minimum plot size shall be 2 ha(5 acres) Subdivision of land will not be permitted Maximum permitted plot coverage shall be 3% of the total project area || plot size shall be 2 ha(5 acres) Subdivision of land will not be permitted Maximum permitted plot coverage shall be 3% of the total project area</x:v>
      </x:c>
      <x:c r="G265" s="11" t="str">
        <x:v>candidate_unreviewed</x:v>
      </x:c>
      <x:c r="H265" s="24" t="b">
        <x:v>0</x:v>
      </x:c>
      <x:c r="I265" s="11" t="str">
        <x:v>Keyword extraction only. Read page image and full context before promoting. English search cannot exclude Sinhala/Tamil or image-only content.</x:v>
      </x:c>
    </x:row>
    <x:row r="266" ht="224" customHeight="1">
      <x:c r="A266" s="8" t="str">
        <x:v>C00265</x:v>
      </x:c>
      <x:c r="B266" s="8" t="str">
        <x:v>SRC_0051</x:v>
      </x:c>
      <x:c r="C266" s="8" t="str">
        <x:v>Maharagama.zip::Maharagama/Maharagama_Regulations.pdf</x:v>
      </x:c>
      <x:c r="D266" s="18" t="n">
        <x:v>15</x:v>
      </x:c>
      <x:c r="E266" s="8" t="str">
        <x:v>plot coverage</x:v>
      </x:c>
      <x:c r="F266" s="8" t="str">
        <x:v>while ensuring that the natural habitat is not disturbed. Minimum Plot Size 4 ha. (10 acres) Plot Coverage 1% FAR - Parking - Notes Preliminary Planning Clearance should be obtained from Urban Development Authority(UDA) Flood storage capacity shall be maintained in accordance with a Master Plan approved by the Sri Lanka Land Reclamation and Development Cooperation(SLLR&amp;DC) Maximum permitted building height from the natural ground level shall be 7 m. Subdivision of land will not be permitted Maximum Permitted area for filling shall be 2% Maximum area permitted for infrastructure shall be 4% of the above permitted filling area. Area of Outstanding landscape / Cultural features should be considered. Building shal</x:v>
      </x:c>
      <x:c r="G266" s="8" t="str">
        <x:v>candidate_unreviewed</x:v>
      </x:c>
      <x:c r="H266" s="21" t="b">
        <x:v>0</x:v>
      </x:c>
      <x:c r="I266" s="8" t="str">
        <x:v>Keyword extraction only. Read page image and full context before promoting. English search cannot exclude Sinhala/Tamil or image-only content.</x:v>
      </x:c>
    </x:row>
    <x:row r="267" ht="210" customHeight="1">
      <x:c r="A267" s="11" t="str">
        <x:v>C00266</x:v>
      </x:c>
      <x:c r="B267" s="11" t="str">
        <x:v>SRC_0052</x:v>
      </x:c>
      <x:c r="C267" s="11" t="str">
        <x:v>Maharagama.zip::Maharagama/Maharagama_Schedules.pdf</x:v>
      </x:c>
      <x:c r="D267" s="22" t="n">
        <x:v>6</x:v>
      </x:c>
      <x:c r="E267" s="11" t="str">
        <x:v>setback</x:v>
      </x:c>
      <x:c r="F267" s="11" t="str">
        <x:v>street lines, the setback from the street and the boundaries of the site, access ways and location of parking areas, drains and water courses, contours and spot levels, distance to electricity lines and trees and vegetation. 4. In case where only building work is involved: (a) A sketch plan of the surrounding area sufficient to locate the building site (b) Approved blocking out plan to a scale of not less than 1:4000 (c) A floor plan of each storey drawn to a scale of 1:100 except where the building is extensive as to render a smaller scale is necessary . In such cases the scale of 1:200 may be used showing: i. The dimensions of the rooms and differ</x:v>
      </x:c>
      <x:c r="G267" s="11" t="str">
        <x:v>candidate_unreviewed</x:v>
      </x:c>
      <x:c r="H267" s="24" t="b">
        <x:v>0</x:v>
      </x:c>
      <x:c r="I267" s="11" t="str">
        <x:v>Keyword extraction only. Read page image and full context before promoting. English search cannot exclude Sinhala/Tamil or image-only content.</x:v>
      </x:c>
    </x:row>
    <x:row r="268" ht="70" customHeight="1">
      <x:c r="A268" s="8" t="str">
        <x:v>C00267</x:v>
      </x:c>
      <x:c r="B268" s="8" t="str">
        <x:v>SRC_0052</x:v>
      </x:c>
      <x:c r="C268" s="8" t="str">
        <x:v>Maharagama.zip::Maharagama/Maharagama_Schedules.pdf</x:v>
      </x:c>
      <x:c r="D268" s="18" t="n">
        <x:v>18</x:v>
      </x:c>
      <x:c r="E268" s="8" t="str">
        <x:v>plot coverage</x:v>
      </x:c>
      <x:c r="F268" s="8" t="str">
        <x:v>(c)Floor Area Ratio (FAR) = Gross Floor Area of all buildings Site Area (d)Plot Coverage = Floor Area at Ground Level X100 Site Area (e) Basement: i. Extent ii. Ground coverage</x:v>
      </x:c>
      <x:c r="G268" s="8" t="str">
        <x:v>candidate_unreviewed</x:v>
      </x:c>
      <x:c r="H268" s="21" t="b">
        <x:v>0</x:v>
      </x:c>
      <x:c r="I268" s="8" t="str">
        <x:v>Keyword extraction only. Read page image and full context before promoting. English search cannot exclude Sinhala/Tamil or image-only content.</x:v>
      </x:c>
    </x:row>
    <x:row r="269" ht="112" customHeight="1">
      <x:c r="A269" s="11" t="str">
        <x:v>C00268</x:v>
      </x:c>
      <x:c r="B269" s="11" t="str">
        <x:v>SRC_0052</x:v>
      </x:c>
      <x:c r="C269" s="11" t="str">
        <x:v>Maharagama.zip::Maharagama/Maharagama_Schedules.pdf</x:v>
      </x:c>
      <x:c r="D269" s="22" t="n">
        <x:v>24</x:v>
      </x:c>
      <x:c r="E269" s="11" t="str">
        <x:v>bathroom, minimum width</x:v>
      </x:c>
      <x:c r="F269" s="11" t="str">
        <x:v>3 FORM “E” (Regulation -38) INTERNAL CLEAR DIMENSIONS OF BATH ROOMS AND TOILETS Room Minimum Width (Meters) Minimum Length (Meters) Bath Rooms 1.5 1.2 Toilets 1.2 1.2 Bathroom and Toilets Combined 1.5 1.7 || Room Minimum Width (Meters) Minimum Length (Meters) Bath Rooms 1.5 1.2 Toilets 1.2 1.2 Bathroom and Toilets Combined 1.5 1.7</x:v>
      </x:c>
      <x:c r="G269" s="11" t="str">
        <x:v>candidate_unreviewed</x:v>
      </x:c>
      <x:c r="H269" s="24" t="b">
        <x:v>0</x:v>
      </x:c>
      <x:c r="I269" s="11" t="str">
        <x:v>Keyword extraction only. Read page image and full context before promoting. English search cannot exclude Sinhala/Tamil or image-only content.</x:v>
      </x:c>
    </x:row>
    <x:row r="270" ht="378" customHeight="1">
      <x:c r="A270" s="8" t="str">
        <x:v>C00269</x:v>
      </x:c>
      <x:c r="B270" s="8" t="str">
        <x:v>SRC_0052</x:v>
      </x:c>
      <x:c r="C270" s="8" t="str">
        <x:v>Maharagama.zip::Maharagama/Maharagama_Schedules.pdf</x:v>
      </x:c>
      <x:c r="D270" s="18" t="n">
        <x:v>25</x:v>
      </x:c>
      <x:c r="E270" s="8" t="str">
        <x:v>bathroom, staircase</x:v>
      </x:c>
      <x:c r="F270" s="8" t="str">
        <x:v>SCHEDULE 3 FORM “F” (Regulation -42) STARECASES Type Width of Staircase Centimeters Minimum Height Meters Riser Centimeters Tread Centimeters (a) Internal stairs serving only one upper floor 75 2.0 19 22.5 (b) Stairs in buildings used as places of public assembly 105 2.1 17.5 22.5 (c) All other types 90 2.1 17.5 22.5 SCHEDULE 3 FORM “G” (Regulation- 46) AGGREGATE AREA OF UNOBSTRUCTED OPENINGS Column 1 Type Column 11 Total Area for Natural Lighting &amp; Ventilation Column 111 Percentage of area Openable (1) Bathrooms and Toilets 1/10 100 (2)Vehicle parking Garage 1/10 50 (3) Factories and Warehouses 1/10 50 (4) All other rooms 1/7 50 SCHEDULE 3 F || 11 Total Area for Natural Lighting &amp; Ventilation Column 111 Percentage of area Openable (1) Bathrooms and Toilets 1/10 100 (2)Vehicle parking Garage 1/10 50 (3) Factories and Warehouses 1/10 50 (4) All other rooms 1/7 50 SCHEDULE 3 FORM “H” (Regulation -56) SPECIFICATIONS AS TO LIFTS i. Lift at least at the main entrance and others shall be suitably installed for buildings with five and above stories. The main lift to be of 12-16 passenger capacity while others to be 8-12 passenger capacity ii. Medium speed lifts shall be used for 5-10 storey buildings iii. High speed lifts shall be used for buildings taller than that</x:v>
      </x:c>
      <x:c r="G270" s="8" t="str">
        <x:v>candidate_unreviewed</x:v>
      </x:c>
      <x:c r="H270" s="21" t="b">
        <x:v>0</x:v>
      </x:c>
      <x:c r="I270" s="8" t="str">
        <x:v>Keyword extraction only. Read page image and full context before promoting. English search cannot exclude Sinhala/Tamil or image-only content.</x:v>
      </x:c>
    </x:row>
    <x:row r="271" ht="84" customHeight="1">
      <x:c r="A271" s="11" t="str">
        <x:v>C00270</x:v>
      </x:c>
      <x:c r="B271" s="11" t="str">
        <x:v>SRC_0052</x:v>
      </x:c>
      <x:c r="C271" s="11" t="str">
        <x:v>Maharagama.zip::Maharagama/Maharagama_Schedules.pdf</x:v>
      </x:c>
      <x:c r="D271" s="22" t="n">
        <x:v>30</x:v>
      </x:c>
      <x:c r="E271" s="11" t="str">
        <x:v>minimum width</x:v>
      </x:c>
      <x:c r="F271" s="11" t="str">
        <x:v>. Parking Area When a parking area is provided, one or more parking spaces for wheelchair users (minimum width : 35 cm) shall be provided. The said space shall be located close to the entrance/exit of the parking area.</x:v>
      </x:c>
      <x:c r="G271" s="11" t="str">
        <x:v>candidate_unreviewed</x:v>
      </x:c>
      <x:c r="H271" s="24" t="b">
        <x:v>0</x:v>
      </x:c>
      <x:c r="I271" s="11" t="str">
        <x:v>Keyword extraction only. Read page image and full context before promoting. English search cannot exclude Sinhala/Tamil or image-only content.</x:v>
      </x:c>
    </x:row>
    <x:row r="272" ht="224" customHeight="1">
      <x:c r="A272" s="8" t="str">
        <x:v>C00271</x:v>
      </x:c>
      <x:c r="B272" s="8" t="str">
        <x:v>SRC_0054</x:v>
      </x:c>
      <x:c r="C272" s="8" t="str">
        <x:v>Maharagama.zip::Maharagama/Maharagama_Volume II.pdf</x:v>
      </x:c>
      <x:c r="D272" s="18" t="n">
        <x:v>7</x:v>
      </x:c>
      <x:c r="E272" s="8" t="str">
        <x:v>staircase</x:v>
      </x:c>
      <x:c r="F272" s="8" t="str">
        <x:v>o carry; (iv) dimensions in figures of the building and all rooms, compartments, corridors, staircases, verandas and roof terraces and the thickness of the walls and columns thereof; (v) dimensions in figures of the clear areas of every air-well, back-yard, court-yard and open spaces in and around the building and the distances from the external walls of the building to the centre line and side of every street, road reservation, and drainage reserve within the lot or adjoining thereto; (vi) dimensions in figures of spaces between all walls, piers and stanchions; (vii) the positions of all sanitary appliances, vent pipes and floor traps and their connections to drain lines; (viii) all the li</x:v>
      </x:c>
      <x:c r="G272" s="8" t="str">
        <x:v>candidate_unreviewed</x:v>
      </x:c>
      <x:c r="H272" s="21" t="b">
        <x:v>0</x:v>
      </x:c>
      <x:c r="I272" s="8" t="str">
        <x:v>Keyword extraction only. Read page image and full context before promoting. English search cannot exclude Sinhala/Tamil or image-only content.</x:v>
      </x:c>
    </x:row>
    <x:row r="273" ht="224" customHeight="1">
      <x:c r="A273" s="11" t="str">
        <x:v>C00272</x:v>
      </x:c>
      <x:c r="B273" s="11" t="str">
        <x:v>SRC_0054</x:v>
      </x:c>
      <x:c r="C273" s="11" t="str">
        <x:v>Maharagama.zip::Maharagama/Maharagama_Volume II.pdf</x:v>
      </x:c>
      <x:c r="D273" s="22" t="n">
        <x:v>23</x:v>
      </x:c>
      <x:c r="E273" s="11" t="str">
        <x:v>staircase</x:v>
      </x:c>
      <x:c r="F273" s="11" t="str">
        <x:v>(7) The exit from a building other than a private dwelling house and every door opening on to a staircase of the Building and all other means of fire- escape which are provided therein in accordance with the Code of Fire Precautions for Buildings shall, except where otherwise required by the Fire Chief, not be locked or obstructed whilst the building or a part thereof is being used or occupied. 27. The owner, occupier or developer of a building or part thereof or, if the building or part thereof is part of a housing development or any other building development, the developer shall if he, without any reasonable cause, contravenes or fails to comply with the provision of regulation 21 or paragraph (2) (6) or (7) of regulation 25 be</x:v>
      </x:c>
      <x:c r="G273" s="11" t="str">
        <x:v>candidate_unreviewed</x:v>
      </x:c>
      <x:c r="H273" s="24" t="b">
        <x:v>0</x:v>
      </x:c>
      <x:c r="I273" s="11" t="str">
        <x:v>Keyword extraction only. Read page image and full context before promoting. English search cannot exclude Sinhala/Tamil or image-only content.</x:v>
      </x:c>
    </x:row>
    <x:row r="274" ht="420" customHeight="1">
      <x:c r="A274" s="8" t="str">
        <x:v>C00273</x:v>
      </x:c>
      <x:c r="B274" s="8" t="str">
        <x:v>SRC_0054</x:v>
      </x:c>
      <x:c r="C274" s="8" t="str">
        <x:v>Maharagama.zip::Maharagama/Maharagama_Volume II.pdf</x:v>
      </x:c>
      <x:c r="D274" s="18" t="n">
        <x:v>29</x:v>
      </x:c>
      <x:c r="E274" s="8" t="str">
        <x:v>light and ventilation, minimum width</x:v>
      </x:c>
      <x:c r="F274" s="8" t="str">
        <x:v>(5) No new sub-division shall have the effect of reducing the open space, light and ventilation and other requirements of any existing building on a site to less than those required under this Regulation. (6) No lot in a sub-division plan shall be utilised for any purpose other than the purpose for which it was approved. (7) In the case of a subdivision of land for the purpose of accommodating a Condominium Development, the size of such lots shall be as per this regulation. This requirement shall not be applicable for lots allocated for common elements. 33. Every lot in a sub-division shall abut to an existing or proposed street or a street in accordance with the provisions of paragraphs (b), (c) an || t in accordance with the provisions of paragraphs (b), (c) and (d) of this Regulation. (a) The minimum width of a carriageway reservation for the street shall be as approved by the Authority but in no case shall be less than 3.6 metres. (b) No site or lot abutting a street less than 9.0 metres in width, shall be used for non-residential use or construction of any building for such use except as provided under regulation 34 of this Regulation.. (c) The width of private roads, in a new sub-division or parcelling of land in all land use zones, other than in special Residential and Residential Zone shall be not less than 9.0 metres. This requirement is not applicable for residential sub divisions. (d) Every street</x:v>
      </x:c>
      <x:c r="G274" s="8" t="str">
        <x:v>candidate_unreviewed</x:v>
      </x:c>
      <x:c r="H274" s="21" t="b">
        <x:v>0</x:v>
      </x:c>
      <x:c r="I274" s="8" t="str">
        <x:v>Keyword extraction only. Read page image and full context before promoting. English search cannot exclude Sinhala/Tamil or image-only content.</x:v>
      </x:c>
    </x:row>
    <x:row r="275" ht="182" customHeight="1">
      <x:c r="A275" s="11" t="str">
        <x:v>C00274</x:v>
      </x:c>
      <x:c r="B275" s="11" t="str">
        <x:v>SRC_0054</x:v>
      </x:c>
      <x:c r="C275" s="11" t="str">
        <x:v>Maharagama.zip::Maharagama/Maharagama_Volume II.pdf</x:v>
      </x:c>
      <x:c r="D275" s="22" t="n">
        <x:v>30</x:v>
      </x:c>
      <x:c r="E275" s="11" t="str">
        <x:v>minimum width</x:v>
      </x:c>
      <x:c r="F275" s="11" t="str">
        <x:v>e minimum access requirements for a dwelling house as stipulated in Form „A‟ in Schedule III the minimum width of access may be reduced on the recommendations of the Planning Committee subject to the following: (i) A minimum width of less than 10 ft. is available for access (ii) This reduction will not apply in case of a new sub-division. || reduced on the recommendations of the Planning Committee subject to the following: (i) A minimum width of less than 10 ft. is available for access (ii) This reduction will not apply in case of a new sub-division.</x:v>
      </x:c>
      <x:c r="G275" s="11" t="str">
        <x:v>candidate_unreviewed</x:v>
      </x:c>
      <x:c r="H275" s="24" t="b">
        <x:v>0</x:v>
      </x:c>
      <x:c r="I275" s="11" t="str">
        <x:v>Keyword extraction only. Read page image and full context before promoting. English search cannot exclude Sinhala/Tamil or image-only content.</x:v>
      </x:c>
    </x:row>
    <x:row r="276" ht="378" customHeight="1">
      <x:c r="A276" s="8" t="str">
        <x:v>C00275</x:v>
      </x:c>
      <x:c r="B276" s="8" t="str">
        <x:v>SRC_0054</x:v>
      </x:c>
      <x:c r="C276" s="8" t="str">
        <x:v>Maharagama.zip::Maharagama/Maharagama_Volume II.pdf</x:v>
      </x:c>
      <x:c r="D276" s="18" t="n">
        <x:v>35</x:v>
      </x:c>
      <x:c r="E276" s="8" t="str">
        <x:v>minimum width</x:v>
      </x:c>
      <x:c r="F276" s="8" t="str">
        <x:v>rwise directed by the Authority. 38.(1)(a) The minimum extent, number of floors, road widths, minimum width of plots and open space around the building shall be in conformity with the specifications set out in Form “C” (Annexure I) below unless the Authority stipulates a higher or lower minimum extent and/or higher or lower width of lots in a development plan. (b) Every lot or site which abuts on to end of a dead end street may have a frontage less than the width specified in Form “C” (Annexure I) above, but have a frontage which is not less than 3.0 metres in width perpendicular to the line along the street. (c) The Authority may relax the requirements of the specified site extent and width || xceed the height of 8.0 metres or two floors unless the Authority direct otherwise. (e) Minimum width of site, open spaces around buildings, road widths and F.A.R. requirements specified in Form “C”. may be reconsidered for lots in extent of more than 1000Sq.m. on case by case basis by the “Chairman” in consultation with the Planning Committee of the Urban Development Authority having undertaken an in-depth study of the surrounding development pattern, future development scenarios, character of urban fabric, use of particular building, location and other related factors.</x:v>
      </x:c>
      <x:c r="G276" s="8" t="str">
        <x:v>candidate_unreviewed</x:v>
      </x:c>
      <x:c r="H276" s="21" t="b">
        <x:v>0</x:v>
      </x:c>
      <x:c r="I276" s="8" t="str">
        <x:v>Keyword extraction only. Read page image and full context before promoting. English search cannot exclude Sinhala/Tamil or image-only content.</x:v>
      </x:c>
    </x:row>
    <x:row r="277" ht="210" customHeight="1">
      <x:c r="A277" s="11" t="str">
        <x:v>C00276</x:v>
      </x:c>
      <x:c r="B277" s="11" t="str">
        <x:v>SRC_0054</x:v>
      </x:c>
      <x:c r="C277" s="11" t="str">
        <x:v>Maharagama.zip::Maharagama/Maharagama_Volume II.pdf</x:v>
      </x:c>
      <x:c r="D277" s="22" t="n">
        <x:v>37</x:v>
      </x:c>
      <x:c r="E277" s="11" t="str">
        <x:v>plot coverage</x:v>
      </x:c>
      <x:c r="F277" s="11" t="str">
        <x:v>nge of use of such building taking into account its surrounding development pattern, existing plot coverage, width of the access road, zoning categorisation and availability of amenities with a view to facilitate maintenance and conservation of such properties. (f). There shall be no display of advertising board, erection of antenna mast, construction of exhibition stalls / telephone booths etc., undertaken without prior approval of the authority. Depending on the circumstances the authority may impose conditions on these activities. Any such activity found to be not in conformity shall be removed as per the applicable Law as may be decided by the authority.</x:v>
      </x:c>
      <x:c r="G277" s="11" t="str">
        <x:v>candidate_unreviewed</x:v>
      </x:c>
      <x:c r="H277" s="24" t="b">
        <x:v>0</x:v>
      </x:c>
      <x:c r="I277" s="11" t="str">
        <x:v>Keyword extraction only. Read page image and full context before promoting. English search cannot exclude Sinhala/Tamil or image-only content.</x:v>
      </x:c>
    </x:row>
    <x:row r="278" ht="378" customHeight="1">
      <x:c r="A278" s="8" t="str">
        <x:v>C00277</x:v>
      </x:c>
      <x:c r="B278" s="8" t="str">
        <x:v>SRC_0054</x:v>
      </x:c>
      <x:c r="C278" s="8" t="str">
        <x:v>Maharagama.zip::Maharagama/Maharagama_Volume II.pdf</x:v>
      </x:c>
      <x:c r="D278" s="18" t="n">
        <x:v>38</x:v>
      </x:c>
      <x:c r="E278" s="8" t="str">
        <x:v>plot coverage</x:v>
      </x:c>
      <x:c r="F278" s="8" t="str">
        <x:v>ermissible F.A.R. for Educational and health institutions should be limited to maximum of FAR , 2.0 Plot Coverage for such uses shall be limited to maximum of 50%. * When there is no building line. ** Please see I, II in D, A in Regulation 39 (1) Number of Floors Min. Width of Site / Road frontage (M) Min. Road Width (M) 3(G+2) 4(G+3) 6 6 4.5 6.0 5(G+4) 6(G+5) 7(G+6) 8(G+7) 8 10 12 15 06 09 12 12 9(G+8) 10(G+9) 11(G+10) 12(G+11) 20 25 30 36 12 15 15 15 13 &amp; above 40 15 Number of Floors Rear Space (M) Minimum space on sides (M)** On side Total Set back in Front (M) Plot Coverage (except Educational &amp; Health Services) Resi. Non. Resi. || Rear Space (M) Minimum space on sides (M)** On side Total Set back in Front (M) Plot Coverage (except Educational &amp; Health Services) Resi. Non. Resi. Other requirements 2(G+1) 3(G+2) 4(G+3) 2.3 3.0 3.0 - - - - - - 01* 01* 01* 65% 65% 65% 80% 80% 80% Space for generator where centrally air- conditioning and mechanically lighting 5(G+4) 6(G+5) 7(G+6) 8(G+7) 3.5 4.0 4.0 5.0 1.5 1.5 2.0 2.0 01 01 02 02 65% 65% 65% 65% 80% 80% 80% 80% 9(G+8) 10(G+9) 11(G+10) 12(G+11) 5.0 6.0 6.0 6.5 6.0 6.0 6.0 9.0 3.0 3.0 4.0 40 03 03 04 06 60% 60% 60% 50% 60% 60% 60% 50% Space for generator 13 &amp; above 10.0 9.0</x:v>
      </x:c>
      <x:c r="G278" s="8" t="str">
        <x:v>candidate_unreviewed</x:v>
      </x:c>
      <x:c r="H278" s="21" t="b">
        <x:v>0</x:v>
      </x:c>
      <x:c r="I278" s="8" t="str">
        <x:v>Keyword extraction only. Read page image and full context before promoting. English search cannot exclude Sinhala/Tamil or image-only content.</x:v>
      </x:c>
    </x:row>
    <x:row r="279" ht="280" customHeight="1">
      <x:c r="A279" s="11" t="str">
        <x:v>C00278</x:v>
      </x:c>
      <x:c r="B279" s="11" t="str">
        <x:v>SRC_0054</x:v>
      </x:c>
      <x:c r="C279" s="11" t="str">
        <x:v>Maharagama.zip::Maharagama/Maharagama_Volume II.pdf</x:v>
      </x:c>
      <x:c r="D279" s="22" t="n">
        <x:v>40</x:v>
      </x:c>
      <x:c r="E279" s="11" t="str">
        <x:v>minimum width, stair case</x:v>
      </x:c>
      <x:c r="F279" s="11" t="str">
        <x:v>ing abuts in its entirety on to a public street or a private street having legal right of way with minimum width of 6 m. (3) In sites of irregular shapes where it is impracticable to provide an open space to the entire width of the rear, the Authority may direct that the open space of the rear shall be left as it deems appropriate, having considered the circumstances of the case. In the rear space, the Authority may allow construction of an open well or spiral stair case to be used as an emergency means of escape provided that such components shall not obstruct the sources of natural light &amp; ventilation to the building at the premises. || of the case. In the rear space, the Authority may allow construction of an open well or spiral stair case to be used as an emergency means of escape provided that such components shall not obstruct the sources of natural light &amp; ventilation to the building at the premises.</x:v>
      </x:c>
      <x:c r="G279" s="11" t="str">
        <x:v>candidate_unreviewed</x:v>
      </x:c>
      <x:c r="H279" s="24" t="b">
        <x:v>0</x:v>
      </x:c>
      <x:c r="I279" s="11" t="str">
        <x:v>Keyword extraction only. Read page image and full context before promoting. English search cannot exclude Sinhala/Tamil or image-only content.</x:v>
      </x:c>
    </x:row>
    <x:row r="280" ht="602" customHeight="1">
      <x:c r="A280" s="8" t="str">
        <x:v>C00279</x:v>
      </x:c>
      <x:c r="B280" s="8" t="str">
        <x:v>SRC_0054</x:v>
      </x:c>
      <x:c r="C280" s="8" t="str">
        <x:v>Maharagama.zip::Maharagama/Maharagama_Volume II.pdf</x:v>
      </x:c>
      <x:c r="D280" s="18" t="n">
        <x:v>42</x:v>
      </x:c>
      <x:c r="E280" s="8" t="str">
        <x:v>bathroom, minimum width</x:v>
      </x:c>
      <x:c r="F280" s="8" t="str">
        <x:v>42 Offences Minimum width of buildings Height of Building Minimum area of rooms in residential buildings Minimum dimensions of lavatories, water closets and bathrooms 46. Whenever an open space, footway or access has been provided in connection with any building in pursuance of the provisions of these Regulations or any other Law or any Regulations made thereunder, it shall be an offence under these Regulations - (a) to carry out or maintain, or permit to carry out or maintain any alteration in the open space, footway or access; (b) to construct or maintain, or permit to construct or maintain a roof over any p || area of rooms in residential buildings Minimum dimensions of lavatories, water closets and bathrooms 46. Whenever an open space, footway or access has been provided in connection with any building in pursuance of the provisions of these Regulations or any other Law or any Regulations made thereunder, it shall be an offence under these Regulations - (a) to carry out or maintain, or permit to carry out or maintain any alteration in the open space, footway or access; (b) to construct or maintain, or permit to construct or maintain a roof over any portion thereof so as to diminish the area of the open space, footway or access; (c) to cause or permit to cause, any obstruction whatsoever to the open space, fo || Space inside Buildings 47. Every new row house, shop building or other building shall have a minimum width of 6.0m measured between the centres of party or external walls or partition and external walls at ground level, except that the minimum width for a new building to be erected on a corner site may be 4.5 m. 48. Height of building and the number of storeys that it may comprise shall be in accordance with the provisions of Form “C” (Annexure I) and the Development Plan of the Maharagama, (except for rooms required for accommodating essential building services i.e., lift well, stair well, water tank, changing room, utility room etc. 49. Minimum areas of rooms in residential buildings shall inconformity in Form C of Schedule II</x:v>
      </x:c>
      <x:c r="G280" s="8" t="str">
        <x:v>candidate_unreviewed</x:v>
      </x:c>
      <x:c r="H280" s="21" t="b">
        <x:v>0</x:v>
      </x:c>
      <x:c r="I280" s="8" t="str">
        <x:v>Keyword extraction only. Read page image and full context before promoting. English search cannot exclude Sinhala/Tamil or image-only content.</x:v>
      </x:c>
    </x:row>
    <x:row r="281" ht="420" customHeight="1">
      <x:c r="A281" s="11" t="str">
        <x:v>C00280</x:v>
      </x:c>
      <x:c r="B281" s="11" t="str">
        <x:v>SRC_0054</x:v>
      </x:c>
      <x:c r="C281" s="11" t="str">
        <x:v>Maharagama.zip::Maharagama/Maharagama_Volume II.pdf</x:v>
      </x:c>
      <x:c r="D281" s="22" t="n">
        <x:v>43</x:v>
      </x:c>
      <x:c r="E281" s="11" t="str">
        <x:v>bathroom, bedroom</x:v>
      </x:c>
      <x:c r="F281" s="11" t="str">
        <x:v>(a) not less than 2.8m average with not less than 2.4m at the lowest point for living rooms and bedrooms. (b) not less than 2.8m average with not less than 2.4m at the lowest point for kitchens (c) Not less than 2.2 m. for bathrooms, lavatories, water-closets, porches, balconies, terraces and garages (2) The height of ground floor rooms in a shop shall be not less than 3.1 m and the height of upper floor rooms shall be not less than 2.8 m average and 2.4 m minimum at the lowest point. (3) The height of classrooms in a school shall be not less than 3.0 m average and 2.5 m minimum at the lowest point. (4) The height of rooms used for the accommodation of patients in a hospital shall be no || ge with not less than 2.4m at the lowest point for kitchens (c) Not less than 2.2 m. for bathrooms, lavatories, water-closets, porches, balconies, terraces and garages (2) The height of ground floor rooms in a shop shall be not less than 3.1 m and the height of upper floor rooms shall be not less than 2.8 m average and 2.4 m minimum at the lowest point. (3) The height of classrooms in a school shall be not less than 3.0 m average and 2.5 m minimum at the lowest point. (4) The height of rooms used for the accommodation of patients in a hospital shall be not less than 3.0 m average and 2.8 m minimum at the lowest point. (5) The height of rooms in a factory in which any person works shall be no</x:v>
      </x:c>
      <x:c r="G281" s="11" t="str">
        <x:v>candidate_unreviewed</x:v>
      </x:c>
      <x:c r="H281" s="24" t="b">
        <x:v>0</x:v>
      </x:c>
      <x:c r="I281" s="11" t="str">
        <x:v>Keyword extraction only. Read page image and full context before promoting. English search cannot exclude Sinhala/Tamil or image-only content.</x:v>
      </x:c>
    </x:row>
    <x:row r="282" ht="392" customHeight="1">
      <x:c r="A282" s="8" t="str">
        <x:v>C00281</x:v>
      </x:c>
      <x:c r="B282" s="8" t="str">
        <x:v>SRC_0054</x:v>
      </x:c>
      <x:c r="C282" s="8" t="str">
        <x:v>Maharagama.zip::Maharagama/Maharagama_Volume II.pdf</x:v>
      </x:c>
      <x:c r="D282" s="18" t="n">
        <x:v>46</x:v>
      </x:c>
      <x:c r="E282" s="8" t="str">
        <x:v>light and ventilation</x:v>
      </x:c>
      <x:c r="F282" s="8" t="str">
        <x:v>sources of natural light and ventilation Light and Ventilation 53. Every building shall be provided with - (a) natural lighting by means of glazed windows, skylights, fanlights, doors or other approved natural light transmitting media; (b) natural ventilation by means of windows, skylights, fanlights, doors, louvers or ventilation openings. (1) In a building the windows and openings through which natural light and ventilation can be obtained shall be so located that- (a) they face and open upon- i. the sky; ii. A public road or a street with right of way or public open space dedicated purely for public use. iii. || ventilation openings. (1) In a building the windows and openings through which natural light and ventilation can be obtained shall be so located that- (a) they face and open upon- i. the sky; ii. A public road or a street with right of way or public open space dedicated purely for public use. iii. a courtyard or open space located within the building lot and complying with the relevant provision, of regulation 39 or 40 as the case may be; iv. an air well complying with the requirements of regulation 59 (b) in the case of a building other than that specified in sub-paragraph (c), no part of the room served by such sources shall be more than 10m away from such o</x:v>
      </x:c>
      <x:c r="G282" s="8" t="str">
        <x:v>candidate_unreviewed</x:v>
      </x:c>
      <x:c r="H282" s="21" t="b">
        <x:v>0</x:v>
      </x:c>
      <x:c r="I282" s="8" t="str">
        <x:v>Keyword extraction only. Read page image and full context before promoting. English search cannot exclude Sinhala/Tamil or image-only content.</x:v>
      </x:c>
    </x:row>
    <x:row r="283" ht="224" customHeight="1">
      <x:c r="A283" s="11" t="str">
        <x:v>C00282</x:v>
      </x:c>
      <x:c r="B283" s="11" t="str">
        <x:v>SRC_0054</x:v>
      </x:c>
      <x:c r="C283" s="11" t="str">
        <x:v>Maharagama.zip::Maharagama/Maharagama_Volume II.pdf</x:v>
      </x:c>
      <x:c r="D283" s="22" t="n">
        <x:v>47</x:v>
      </x:c>
      <x:c r="E283" s="11" t="str">
        <x:v>light and ventilation</x:v>
      </x:c>
      <x:c r="F283" s="11" t="str">
        <x:v>ng or other natural ventilation device in the roof of the room. (2) Sources of natural light and ventilation may open upon an enclosed or partly enclosed balcony, veranda or porch if – 54. (a) such balcony, veranda or porch faces upon a street or service road or upon a courtyard or open space which is located upon the building lot and complies with the relevant requirements of regulations 39, 40, and 53 (1). (b) the maximum depth of the room served by such sources does not exceed 10 m measured from the outer face of the enclosure wall of the balcony, veranda or porch; and (c) the front of the balcony, veranda or porch has an opening to external air, the area of which shall be at least 75 per cent of the floor</x:v>
      </x:c>
      <x:c r="G283" s="11" t="str">
        <x:v>candidate_unreviewed</x:v>
      </x:c>
      <x:c r="H283" s="24" t="b">
        <x:v>0</x:v>
      </x:c>
      <x:c r="I283" s="11" t="str">
        <x:v>Keyword extraction only. Read page image and full context before promoting. English search cannot exclude Sinhala/Tamil or image-only content.</x:v>
      </x:c>
    </x:row>
    <x:row r="284" ht="140" customHeight="1">
      <x:c r="A284" s="8" t="str">
        <x:v>C00283</x:v>
      </x:c>
      <x:c r="B284" s="8" t="str">
        <x:v>SRC_0054</x:v>
      </x:c>
      <x:c r="C284" s="8" t="str">
        <x:v>Maharagama.zip::Maharagama/Maharagama_Volume II.pdf</x:v>
      </x:c>
      <x:c r="D284" s="18" t="n">
        <x:v>48</x:v>
      </x:c>
      <x:c r="E284" s="8" t="str">
        <x:v>bathroom</x:v>
      </x:c>
      <x:c r="F284" s="8" t="str">
        <x:v>free uninterrupted passage of air, if such room is a water-closet, latrine, urinal, bathroom, toilet or laundry room; or, ii. A ventilation duct open to sky having an area not less than 1 Sq.m. with minimum depth of 1 m perpendicular to the plane of the opening of water closet, toilet or Bathroom. || inimum depth of 1 m perpendicular to the plane of the opening of water closet, toilet or Bathroom.</x:v>
      </x:c>
      <x:c r="G284" s="8" t="str">
        <x:v>candidate_unreviewed</x:v>
      </x:c>
      <x:c r="H284" s="21" t="b">
        <x:v>0</x:v>
      </x:c>
      <x:c r="I284" s="8" t="str">
        <x:v>Keyword extraction only. Read page image and full context before promoting. English search cannot exclude Sinhala/Tamil or image-only content.</x:v>
      </x:c>
    </x:row>
    <x:row r="285" ht="532" customHeight="1">
      <x:c r="A285" s="11" t="str">
        <x:v>C00284</x:v>
      </x:c>
      <x:c r="B285" s="11" t="str">
        <x:v>SRC_0054</x:v>
      </x:c>
      <x:c r="C285" s="11" t="str">
        <x:v>Maharagama.zip::Maharagama/Maharagama_Volume II.pdf</x:v>
      </x:c>
      <x:c r="D285" s="22" t="n">
        <x:v>49</x:v>
      </x:c>
      <x:c r="E285" s="11" t="str">
        <x:v>light and ventilation, staircase</x:v>
      </x:c>
      <x:c r="F285" s="11" t="str">
        <x:v>49 Schools Hospitals Staircase, corridors and lobby Parking Factories, warehouses and godowns Terrace houses Adjoining rooms Basement Rooms (f) 20% of the floor space of the room of which at least 50% shall be open-able or permanently open so as to allow free uninterrupted passage of air, if such room is used for the dissemination of knowledge as a school or teaching space (g) 20 % of the floor space of the room shall be fully open able or permanently open so as to allow free uninterrupted passage of air, if such room is used for the accommodation of patients in a hospital, convalescence home, nursi || ome, nursing home or the like; (h) 10% of the floor area per floor in the case of an enclosed staircase, corridor or lobby of which 50 % shall be openable or permanently open so as to allow a free uninterrupted passage of air except as required under the provisions of the Code of Fire Precautions for Buildings. (i) 10% of the floor space of the room of which at least 50% shall be openable or permanently open so as to allow free uninterrupted passage of air, (j) 10% of the floor space of the room of which at least 50 per cent shall be openable or permanently open so as to allow free uninterrupted passage of air, if such room is used as a godown or any other storage area. Such uses may be provided with light and ventilat || have a net opening area of not less than 0.4 square meters. 57. For the purpose of determining light and ventilation requirements, any room may be considered as a portion of an adjoining room when half of the area of the common wall is open and unobstructed 58. When any room is located in a basement and is intended to be naturally lit and ventilated, such room shall have at least one third of the height of its external walls above the ground level and satisfy Regulation 54.</x:v>
      </x:c>
      <x:c r="G285" s="11" t="str">
        <x:v>candidate_unreviewed</x:v>
      </x:c>
      <x:c r="H285" s="24" t="b">
        <x:v>0</x:v>
      </x:c>
      <x:c r="I285" s="11" t="str">
        <x:v>Keyword extraction only. Read page image and full context before promoting. English search cannot exclude Sinhala/Tamil or image-only content.</x:v>
      </x:c>
    </x:row>
    <x:row r="286" ht="574" customHeight="1">
      <x:c r="A286" s="8" t="str">
        <x:v>C00285</x:v>
      </x:c>
      <x:c r="B286" s="8" t="str">
        <x:v>SRC_0054</x:v>
      </x:c>
      <x:c r="C286" s="8" t="str">
        <x:v>Maharagama.zip::Maharagama/Maharagama_Volume II.pdf</x:v>
      </x:c>
      <x:c r="D286" s="18" t="n">
        <x:v>50</x:v>
      </x:c>
      <x:c r="E286" s="8" t="str">
        <x:v>light and ventilation, plot coverage</x:v>
      </x:c>
      <x:c r="F286" s="8" t="str">
        <x:v>50 Provisions of air-wells Or courtyards for the Purpose of natural light and ventilation Plot Coverage and F.A.R. 59. (1) In the case of air-wells meant for obtaining natural light and ventilation following requirements shall be complied with; Form “A” Specification as to Air-wells for Natural Light and Ventilation (2) No internal air-well or courtyard required for the purpose of natural lighting and ventilation shall be roofed over. However if the shortest side of the Air Well is less than 5.0 m., overhangs, canopies, wings, sun shading devices, eaves or balconies projected over such open space should no || Purpose of natural light and ventilation Plot Coverage and F.A.R. 59. (1) In the case of air-wells meant for obtaining natural light and ventilation following requirements shall be complied with; Form “A” Specification as to Air-wells for Natural Light and Ventilation (2) No internal air-well or courtyard required for the purpose of natural lighting and ventilation shall be roofed over. However if the shortest side of the Air Well is less than 5.0 m., overhangs, canopies, wings, sun shading devices, eaves or balconies projected over such open space should not exceed 0.5 m in width. (3) The floor of an internal courtyard s || .A.R. 59. (1) In the case of air-wells meant for obtaining natural light and ventilation following requirements shall be complied with; Form “A” Specification as to Air-wells for Natural Light and Ventilation (2) No internal air-well or courtyard required for the purpose of natural lighting and ventilation shall be roofed over. However if the shortest side of the Air Well is less than 5.0 m., overhangs, canopies, wings, sun shading devices, eaves or balconies projected over such open space should not exceed 0.5 m in width. (3) The floor of an internal courtyard shall either be paved or turfed and maintained as an internal garden with a proper drain system to the satisfaction of the Author</x:v>
      </x:c>
      <x:c r="G286" s="8" t="str">
        <x:v>candidate_unreviewed</x:v>
      </x:c>
      <x:c r="H286" s="21" t="b">
        <x:v>0</x:v>
      </x:c>
      <x:c r="I286" s="8" t="str">
        <x:v>Keyword extraction only. Read page image and full context before promoting. English search cannot exclude Sinhala/Tamil or image-only content.</x:v>
      </x:c>
    </x:row>
    <x:row r="287" ht="322" customHeight="1">
      <x:c r="A287" s="11" t="str">
        <x:v>C00286</x:v>
      </x:c>
      <x:c r="B287" s="11" t="str">
        <x:v>SRC_0054</x:v>
      </x:c>
      <x:c r="C287" s="11" t="str">
        <x:v>Maharagama.zip::Maharagama/Maharagama_Volume II.pdf</x:v>
      </x:c>
      <x:c r="D287" s="22" t="n">
        <x:v>53</x:v>
      </x:c>
      <x:c r="E287" s="11" t="str">
        <x:v>light and ventilation, staircase</x:v>
      </x:c>
      <x:c r="F287" s="11" t="str">
        <x:v>r intended to be installed in a building, the provisions of these Regulations relating to natural light and ventilation and the height of rooms may be waived or modified at the discretion of the Authority if- (a) such installation is in accordance with the relevant provisions of these Regulations, having regard to the particular type of occupancy of the building or part thereof; and (b) the owner of the building has given an undertaking to the Authority affirming that he will comply fully with the relevant provision of these Regulations when the air-conditioning unit, mechanical ventilation system or artificial lighting is no longer in use. (2) In a room used for residential purposes where fresh air is obtained by mechanical mea || paragraph (2) of regulation 67, mechanical ventilation shall - (a) be provided in every room, staircase, corridor or lobby where the relevant requirements for natural ventilation under these Regulations are not met; (b) in other cases, be provided in accordance with the other provisions of these Regulations or as may be required by the Authority.</x:v>
      </x:c>
      <x:c r="G287" s="11" t="str">
        <x:v>candidate_unreviewed</x:v>
      </x:c>
      <x:c r="H287" s="24" t="b">
        <x:v>0</x:v>
      </x:c>
      <x:c r="I287" s="11" t="str">
        <x:v>Keyword extraction only. Read page image and full context before promoting. English search cannot exclude Sinhala/Tamil or image-only content.</x:v>
      </x:c>
    </x:row>
    <x:row r="288" ht="224" customHeight="1">
      <x:c r="A288" s="8" t="str">
        <x:v>C00287</x:v>
      </x:c>
      <x:c r="B288" s="8" t="str">
        <x:v>SRC_0054</x:v>
      </x:c>
      <x:c r="C288" s="8" t="str">
        <x:v>Maharagama.zip::Maharagama/Maharagama_Volume II.pdf</x:v>
      </x:c>
      <x:c r="D288" s="18" t="n">
        <x:v>58</x:v>
      </x:c>
      <x:c r="E288" s="8" t="str">
        <x:v>light and ventilation</x:v>
      </x:c>
      <x:c r="F288" s="8" t="str">
        <x:v>in its entirely or to an extent of 1/3 of its height above such ground level in case where natural light and ventilation is intended to be obtained. “boundary wall” means any wall, enclosure or screen built on or along a boundary line of a parcel of land for the purpose of separating such land from another adjoining parcel of land: “blind Wall” means a solid wall constructed using trans lucent material having no openings. “building” includes a house, out house, latrine, shed, godown or any structure made out of masonry bricks, mud, timber, metal or any other permanent material. “residential building” means a building exclusively consisting of one dwelling unit or a number of dwelling units. “building line” means the line up to which</x:v>
      </x:c>
      <x:c r="G288" s="8" t="str">
        <x:v>candidate_unreviewed</x:v>
      </x:c>
      <x:c r="H288" s="21" t="b">
        <x:v>0</x:v>
      </x:c>
      <x:c r="I288" s="8" t="str">
        <x:v>Keyword extraction only. Read page image and full context before promoting. English search cannot exclude Sinhala/Tamil or image-only content.</x:v>
      </x:c>
    </x:row>
    <x:row r="289" ht="210" customHeight="1">
      <x:c r="A289" s="11" t="str">
        <x:v>C00288</x:v>
      </x:c>
      <x:c r="B289" s="11" t="str">
        <x:v>SRC_0054</x:v>
      </x:c>
      <x:c r="C289" s="11" t="str">
        <x:v>Maharagama.zip::Maharagama/Maharagama_Volume II.pdf</x:v>
      </x:c>
      <x:c r="D289" s="22" t="n">
        <x:v>60</x:v>
      </x:c>
      <x:c r="E289" s="11" t="str">
        <x:v>bathroom</x:v>
      </x:c>
      <x:c r="F289" s="11" t="str">
        <x:v>ed to be used wholly or partially for human habitation for a family, where the kitchen, lavatory, bathroom or water-closet are contained within the separate dwelling and that dwelling is contained in a building comprising two or more than such dwellings joined vertically. “flood level” means such flood level as may be specified for an area by the Department of Irrigation or Sri Lanka Land Reclamation &amp; Development Corporation for the purposes of these Regulations. “floor” includes a horizontal platform forming the surface of a storey and any joist board, timber, stone, concrete, steel or other substance connected with or forming part of such platform;</x:v>
      </x:c>
      <x:c r="G289" s="11" t="str">
        <x:v>candidate_unreviewed</x:v>
      </x:c>
      <x:c r="H289" s="24" t="b">
        <x:v>0</x:v>
      </x:c>
      <x:c r="I289" s="11" t="str">
        <x:v>Keyword extraction only. Read page image and full context before promoting. English search cannot exclude Sinhala/Tamil or image-only content.</x:v>
      </x:c>
    </x:row>
    <x:row r="290" ht="434" customHeight="1">
      <x:c r="A290" s="8" t="str">
        <x:v>C00289</x:v>
      </x:c>
      <x:c r="B290" s="8" t="str">
        <x:v>SRC_0054</x:v>
      </x:c>
      <x:c r="C290" s="8" t="str">
        <x:v>Maharagama.zip::Maharagama/Maharagama_Volume II.pdf</x:v>
      </x:c>
      <x:c r="D290" s="18" t="n">
        <x:v>62</x:v>
      </x:c>
      <x:c r="E290" s="8" t="str">
        <x:v>bathroom, habitable room</x:v>
      </x:c>
      <x:c r="F290" s="8" t="str">
        <x:v>ding means the vertical distance measured from the corresponding location to its highest part. “habitable room” means any room not less than 8.0 Sq.m. in area but does not include any bathroom, water-closet, open veranda, terrace or garage; “hospital” means a building or part thereof designed, adapted or used for the care or treatment of the sick, infirm, aged, convalescent and pregnant; “hotel” means a building specially designed and constructed or substantially adapted to be used to accommodate persons for the purpose of gain or profit, with or without arrangements for communal feeding. “housing accommodation” includes a building or tenement wholly or partially constructed, adapted for human habitation or for human habitation and bus || part. “habitable room” means any room not less than 8.0 Sq.m. in area but does not include any bathroom, water-closet, open veranda, terrace or garage; “hospital” means a building or part thereof designed, adapted or used for the care or treatment of the sick, infirm, aged, convalescent and pregnant; “hotel” means a building specially designed and constructed or substantially adapted to be used to accommodate persons for the purpose of gain or profit, with or without arrangements for communal feeding. “housing accommodation” includes a building or tenement wholly or partially constructed, adapted for human habitation or for human habitation and business. “housing complex” means a group of dwelling units on a site which is p</x:v>
      </x:c>
      <x:c r="G290" s="8" t="str">
        <x:v>candidate_unreviewed</x:v>
      </x:c>
      <x:c r="H290" s="21" t="b">
        <x:v>0</x:v>
      </x:c>
      <x:c r="I290" s="8" t="str">
        <x:v>Keyword extraction only. Read page image and full context before promoting. English search cannot exclude Sinhala/Tamil or image-only content.</x:v>
      </x:c>
    </x:row>
    <x:row r="291" ht="84" customHeight="1">
      <x:c r="A291" s="11" t="str">
        <x:v>C00290</x:v>
      </x:c>
      <x:c r="B291" s="11" t="str">
        <x:v>SRC_0054</x:v>
      </x:c>
      <x:c r="C291" s="11" t="str">
        <x:v>Maharagama.zip::Maharagama/Maharagama_Volume II.pdf</x:v>
      </x:c>
      <x:c r="D291" s="22" t="n">
        <x:v>64</x:v>
      </x:c>
      <x:c r="E291" s="11" t="str">
        <x:v>plot coverage</x:v>
      </x:c>
      <x:c r="F291" s="11" t="str">
        <x:v>ing committee” means the Committee appointed under Section 8 of the Law as amended in 1982. “plot coverage” means the percentage of total plinth area of a building in relation to the total land area in the plot where the building situated. In the</x:v>
      </x:c>
      <x:c r="G291" s="11" t="str">
        <x:v>candidate_unreviewed</x:v>
      </x:c>
      <x:c r="H291" s="24" t="b">
        <x:v>0</x:v>
      </x:c>
      <x:c r="I291" s="11" t="str">
        <x:v>Keyword extraction only. Read page image and full context before promoting. English search cannot exclude Sinhala/Tamil or image-only content.</x:v>
      </x:c>
    </x:row>
    <x:row r="292" ht="224" customHeight="1">
      <x:c r="A292" s="8" t="str">
        <x:v>C00291</x:v>
      </x:c>
      <x:c r="B292" s="8" t="str">
        <x:v>SRC_0054</x:v>
      </x:c>
      <x:c r="C292" s="8" t="str">
        <x:v>Maharagama.zip::Maharagama/Maharagama_Volume II.pdf</x:v>
      </x:c>
      <x:c r="D292" s="18" t="n">
        <x:v>65</x:v>
      </x:c>
      <x:c r="E292" s="8" t="str">
        <x:v>plot coverage</x:v>
      </x:c>
      <x:c r="F292" s="8" t="str">
        <x:v>ceeding 1 m in width, such additional areas shall also be added for the purpose of calculating the plot coverage. “Professional Engineer” means a person whose name appears on the register kept in the Institute of Engineers Sri Lanka as a Chartered Engineer. “public building” includes any building or part thereof used or constructed or adapted to be used for the purpose of public worship , instruction, recreation, meeting , shopping centre, medical institution or a nursing home or government / private office. “public street” means any street over which the public have a right of way and has become vested in any Authority under any Law or by operation of any Law and includes the drain or footway attached thereto; “Qualified person”</x:v>
      </x:c>
      <x:c r="G292" s="8" t="str">
        <x:v>candidate_unreviewed</x:v>
      </x:c>
      <x:c r="H292" s="21" t="b">
        <x:v>0</x:v>
      </x:c>
      <x:c r="I292" s="8" t="str">
        <x:v>Keyword extraction only. Read page image and full context before promoting. English search cannot exclude Sinhala/Tamil or image-only content.</x:v>
      </x:c>
    </x:row>
    <x:row r="293" ht="182" customHeight="1">
      <x:c r="A293" s="11" t="str">
        <x:v>C00292</x:v>
      </x:c>
      <x:c r="B293" s="11" t="str">
        <x:v>SRC_0054</x:v>
      </x:c>
      <x:c r="C293" s="11" t="str">
        <x:v>Maharagama.zip::Maharagama/Maharagama_Volume II.pdf</x:v>
      </x:c>
      <x:c r="D293" s="22" t="n">
        <x:v>66</x:v>
      </x:c>
      <x:c r="E293" s="11" t="str">
        <x:v>bathroom</x:v>
      </x:c>
      <x:c r="F293" s="11" t="str">
        <x:v>a building enclosed by walls or partitions. “sanitary facilities” includes toilets, wash-basins, bathrooms, sinks and facilities for washing clothes which connect, directly or otherwise with a private sewage treatment plant or with a public sewerage system. “school” means a building or part thereof designed, adapted or used for the dissemination of knowledge. “service garage “ includes a building or part thereof, used for the repairing, painting, washing, of motor vehicles; “sewage” means any liquid waste and includes water-borne sludge and trade effluent;</x:v>
      </x:c>
      <x:c r="G293" s="11" t="str">
        <x:v>candidate_unreviewed</x:v>
      </x:c>
      <x:c r="H293" s="24" t="b">
        <x:v>0</x:v>
      </x:c>
      <x:c r="I293" s="11" t="str">
        <x:v>Keyword extraction only. Read page image and full context before promoting. English search cannot exclude Sinhala/Tamil or image-only content.</x:v>
      </x:c>
    </x:row>
    <x:row r="294" ht="196" customHeight="1">
      <x:c r="A294" s="8" t="str">
        <x:v>C00293</x:v>
      </x:c>
      <x:c r="B294" s="8" t="str">
        <x:v>SRC_0054</x:v>
      </x:c>
      <x:c r="C294" s="8" t="str">
        <x:v>Maharagama.zip::Maharagama/Maharagama_Volume II.pdf</x:v>
      </x:c>
      <x:c r="D294" s="18" t="n">
        <x:v>67</x:v>
      </x:c>
      <x:c r="E294" s="8" t="str">
        <x:v>staircase</x:v>
      </x:c>
      <x:c r="F294" s="8" t="str">
        <x:v>of a building” includes the roof, column, or main post, beam, foundation, wall suspended floor, or staircase of a building but not include a door, windows or internal partition thereof; “superimposed load” or superimposed loading” means all loading other than dead load; “temporary building” means a building which is permitted by the Authority to remain for a specified period at the expiration of which the building shall be demolished. “terrace house” means a residential building designed as single dwelling unit and forming part of a row or terrace of not less than three such residential buildings;</x:v>
      </x:c>
      <x:c r="G294" s="8" t="str">
        <x:v>candidate_unreviewed</x:v>
      </x:c>
      <x:c r="H294" s="21" t="b">
        <x:v>0</x:v>
      </x:c>
      <x:c r="I294" s="8" t="str">
        <x:v>Keyword extraction only. Read page image and full context before promoting. English search cannot exclude Sinhala/Tamil or image-only content.</x:v>
      </x:c>
    </x:row>
    <x:row r="295" ht="238" customHeight="1">
      <x:c r="A295" s="11" t="str">
        <x:v>C00294</x:v>
      </x:c>
      <x:c r="B295" s="11" t="str">
        <x:v>SRC_0055</x:v>
      </x:c>
      <x:c r="C295" s="11" t="str">
        <x:v>Maharagama_Development_Plan_eng.pdf</x:v>
      </x:c>
      <x:c r="D295" s="22" t="n">
        <x:v>250</x:v>
      </x:c>
      <x:c r="E295" s="11" t="str">
        <x:v>minimum width</x:v>
      </x:c>
      <x:c r="F295" s="11" t="str">
        <x:v>. 5. In cases where the development premises face more than one road having right of way with a minimum width of 6 m or more that connected to the main roads independently, the calculation of the permissible development may be considered while taking into account the total width of the access roads on a case-by-case basis 6. The Authority shall have powers to decide final approval of any uses not mentioned in the permissible uses category as per zoning plan. 7. In case of any problem regarding a wetland, the Urban Development Authority shall have power to take a decision subject to the recommendation obtain through a join inspection with Department of Agrarian Services, Central Environmental Authority, Sri Lanka Land Development Corpora</x:v>
      </x:c>
      <x:c r="G295" s="11" t="str">
        <x:v>candidate_unreviewed</x:v>
      </x:c>
      <x:c r="H295" s="24" t="b">
        <x:v>0</x:v>
      </x:c>
      <x:c r="I295" s="11" t="str">
        <x:v>Keyword extraction only. Read page image and full context before promoting. English search cannot exclude Sinhala/Tamil or image-only content.</x:v>
      </x:c>
    </x:row>
    <x:row r="296" ht="224" customHeight="1">
      <x:c r="A296" s="8" t="str">
        <x:v>C00295</x:v>
      </x:c>
      <x:c r="B296" s="8" t="str">
        <x:v>SRC_0055</x:v>
      </x:c>
      <x:c r="C296" s="8" t="str">
        <x:v>Maharagama_Development_Plan_eng.pdf</x:v>
      </x:c>
      <x:c r="D296" s="18" t="n">
        <x:v>252</x:v>
      </x:c>
      <x:c r="E296" s="8" t="str">
        <x:v>plot coverage</x:v>
      </x:c>
      <x:c r="F296" s="8" t="str">
        <x:v>lines (private roads) should keep 1m from edge of the road as a building line. 24. The maximum plot coverage for schools, educational institutions, children’s homes, elders’ homes, rehabilitation homes and hospitals should not exceed 50%. 25. Penalty amount for each building used without obtaining a certificate of conformity will be charged from the date of expiry of the development permit. 26. Preliminary Planning Clearance shall be obtained from the Urban Development Authority for the following situations even though it is mentioned in the Gazette Notification No. 2235/54 dated 08th July 2021 issued by the Urban Development Authority § The all developments activities in public open space § The buildings exceeding 30m in height §</x:v>
      </x:c>
      <x:c r="G296" s="8" t="str">
        <x:v>candidate_unreviewed</x:v>
      </x:c>
      <x:c r="H296" s="21" t="b">
        <x:v>0</x:v>
      </x:c>
      <x:c r="I296" s="8" t="str">
        <x:v>Keyword extraction only. Read page image and full context before promoting. English search cannot exclude Sinhala/Tamil or image-only content.</x:v>
      </x:c>
    </x:row>
    <x:row r="297" ht="210" customHeight="1">
      <x:c r="A297" s="11" t="str">
        <x:v>C00296</x:v>
      </x:c>
      <x:c r="B297" s="11" t="str">
        <x:v>SRC_0055</x:v>
      </x:c>
      <x:c r="C297" s="11" t="str">
        <x:v>Maharagama_Development_Plan_eng.pdf</x:v>
      </x:c>
      <x:c r="D297" s="22" t="n">
        <x:v>271</x:v>
      </x:c>
      <x:c r="E297" s="11" t="str">
        <x:v>plot coverage</x:v>
      </x:c>
      <x:c r="F297" s="11" t="str">
        <x:v>rea for construction of building V Ground limits allowed for filling maximum VI Maximum Plot coverage ( Area covered by buildings ( VII Maximum infrastructure projects permitted (Electricity ,Water supply , Telecomunication ,Highways etc). VIII Maximum ground floor size approved for seperate buildings IX building height Maximum permitted X Type of building XI Subdivisions XII Marking the boundaries XIII Relaxation of the above conditions in special cases XIV Permitted uses Only the approved uses set forth in the Gazette, in the Domestic Act of that Convention, which have been promulgated in accordance with an International Convention, Domestic Act or Gazette, may be implemented.</x:v>
      </x:c>
      <x:c r="G297" s="11" t="str">
        <x:v>candidate_unreviewed</x:v>
      </x:c>
      <x:c r="H297" s="24" t="b">
        <x:v>0</x:v>
      </x:c>
      <x:c r="I297" s="11" t="str">
        <x:v>Keyword extraction only. Read page image and full context before promoting. English search cannot exclude Sinhala/Tamil or image-only content.</x:v>
      </x:c>
    </x:row>
    <x:row r="298" ht="616" customHeight="1">
      <x:c r="A298" s="8" t="str">
        <x:v>C00297</x:v>
      </x:c>
      <x:c r="B298" s="8" t="str">
        <x:v>SRC_0055</x:v>
      </x:c>
      <x:c r="C298" s="8" t="str">
        <x:v>Maharagama_Development_Plan_eng.pdf</x:v>
      </x:c>
      <x:c r="D298" s="18" t="n">
        <x:v>282</x:v>
      </x:c>
      <x:c r="E298" s="8" t="str">
        <x:v>plot coverage, setbacks</x:v>
      </x:c>
      <x:c r="F298" s="8" t="str">
        <x:v>Form B - Number of Floors for 3.0m &amp; 4.5m wide Roads Minimum Road Width Minimum Site Frontage Plot Coverage* Maximum Number of Floors Zone Factor 1.50 - 3.49 Zone Factor 3.50 - 4.00 3.0m 6m 65% 3 (G+2) 3 (G+2) 4.5m 6m 65% 3 (G+2) 4 (G+3) Number of floors are indicated including parking areas No of units allowed for each road shall not be changed * Where no plot coverage specified under the zoning regulations Open spaces published in the gazette notification No. 54/2235 dated 08.07.2021by the Urban Development Authority Form E - Setbacks &amp; Open Spaces Building Height (m) Minimum Site Frontage (m) Plot Coverage * Rear Space (m) Side Space (m) Light Well for NLV Non Residentia l When no NLV is taking thi || ated including parking areas No of units allowed for each road shall not be changed * Where no plot coverage specified under the zoning regulations Open spaces published in the gazette notification No. 54/2235 dated 08.07.2021by the Urban Development Authority Form E - Setbacks &amp; Open Spaces Building Height (m) Minimum Site Frontage (m) Plot Coverage * Rear Space (m) Side Space (m) Light Well for NLV Non Residentia l When no NLV is taking this end When no NLV is taking this end When NLV is taking this end When no NLV is taking this end When NLV is taking this end Minimum width Minimum Area less than 7 6 80%** 65% 2.3m 2.3m - 2.3m 2.3m 5Sq.m 7 less than 15 6 65% 65% 3.0m 3.0m - 3.0m 3.0m 9 Sq.m || the gazette notification No. 54/2235 dated 08.07.2021by the Urban Development Authority Form E - Setbacks &amp; Open Spaces Building Height (m) Minimum Site Frontage (m) Plot Coverage * Rear Space (m) Side Space (m) Light Well for NLV Non Residentia l When no NLV is taking this end When no NLV is taking this end When NLV is taking this end When no NLV is taking this end When NLV is taking this end Minimum width Minimum Area less than 7 6 80%** 65% 2.3m 2.3m - 2.3m 2.3m 5Sq.m 7 less than 15 6 65% 65% 3.0m 3.0m - 3.0m 3.0m 9 Sq.m 15 less than 30 12 65% 65% 4.0m 4.0m 1.0m and 3.0m 4.0m 4.0m 16 Sq.m 30 less than 50 20 65% 65% 4.0m 5.0m 3.0m both side 5.0m 5.0m 25 Sq.m 50 less than 75</x:v>
      </x:c>
      <x:c r="G298" s="8" t="str">
        <x:v>candidate_unreviewed</x:v>
      </x:c>
      <x:c r="H298" s="21" t="b">
        <x:v>0</x:v>
      </x:c>
      <x:c r="I298" s="8" t="str">
        <x:v>Keyword extraction only. Read page image and full context before promoting. English search cannot exclude Sinhala/Tamil or image-only content.</x:v>
      </x:c>
    </x:row>
    <x:row r="299" ht="238" customHeight="1">
      <x:c r="A299" s="11" t="str">
        <x:v>C00298</x:v>
      </x:c>
      <x:c r="B299" s="11" t="str">
        <x:v>SRC_0056</x:v>
      </x:c>
      <x:c r="C299" s="11" t="str">
        <x:v>MahiyanganayaEnglish.pdf</x:v>
      </x:c>
      <x:c r="D299" s="22" t="n">
        <x:v>93</x:v>
      </x:c>
      <x:c r="E299" s="11" t="str">
        <x:v>setbacks</x:v>
      </x:c>
      <x:c r="F299" s="11" t="str">
        <x:v>idents. The closure or reduction of clay-related businesses may result in job losses and economic setbacks, affecting livelihoods and community well-being. Creating alternative employment opportunities in emerging sectors such as tourism, agriculture, or small-scale manufacturing can help mitigate these impacts and contribute to overall economic growth. Illegal quarrying can lead to environmental degradation, including soil erosion, habitat destruction, and water pollution. Unregulated excavations may damage ecosystems and pose a threat to biodiversity, affecting both terrestrial and aquatic species. Addressing these environmental challenges requires the implementation of sustainable land management practices and strict enforcement of reg</x:v>
      </x:c>
      <x:c r="G299" s="11" t="str">
        <x:v>candidate_unreviewed</x:v>
      </x:c>
      <x:c r="H299" s="24" t="b">
        <x:v>0</x:v>
      </x:c>
      <x:c r="I299" s="11" t="str">
        <x:v>Keyword extraction only. Read page image and full context before promoting. English search cannot exclude Sinhala/Tamil or image-only content.</x:v>
      </x:c>
    </x:row>
    <x:row r="300" ht="238" customHeight="1">
      <x:c r="A300" s="8" t="str">
        <x:v>C00299</x:v>
      </x:c>
      <x:c r="B300" s="8" t="str">
        <x:v>SRC_0056</x:v>
      </x:c>
      <x:c r="C300" s="8" t="str">
        <x:v>MahiyanganayaEnglish.pdf</x:v>
      </x:c>
      <x:c r="D300" s="18" t="n">
        <x:v>171</x:v>
      </x:c>
      <x:c r="E300" s="8" t="str">
        <x:v>setback</x:v>
      </x:c>
      <x:c r="F300" s="8" t="str">
        <x:v>ing natural landscapes, have been designated as visual corridors and outlined in the Zoning Plan. Setback requirements, height restrictions and building guidelines have been provided for properties located within visual corridors to ensure that new developments do not block or obscure scenic views and mountain panoramas. Enforcing land use regulations that protect the visual corridor from inappropriate land uses such as high-rise buildings, industrial facilities, and infrastructure projects that could damage the scenic beauty of the area is a crucial task. Implementing buffer zones and green belts along the visual access corridor to create a buffer between development zones and protected natural landscapes can maintain uninterrupted view</x:v>
      </x:c>
      <x:c r="G300" s="8" t="str">
        <x:v>candidate_unreviewed</x:v>
      </x:c>
      <x:c r="H300" s="21" t="b">
        <x:v>0</x:v>
      </x:c>
      <x:c r="I300" s="8" t="str">
        <x:v>Keyword extraction only. Read page image and full context before promoting. English search cannot exclude Sinhala/Tamil or image-only content.</x:v>
      </x:c>
    </x:row>
    <x:row r="301" ht="406" customHeight="1">
      <x:c r="A301" s="11" t="str">
        <x:v>C00300</x:v>
      </x:c>
      <x:c r="B301" s="11" t="str">
        <x:v>SRC_0056</x:v>
      </x:c>
      <x:c r="C301" s="11" t="str">
        <x:v>MahiyanganayaEnglish.pdf</x:v>
      </x:c>
      <x:c r="D301" s="22" t="n">
        <x:v>253</x:v>
      </x:c>
      <x:c r="E301" s="11" t="str">
        <x:v>minimum width, plot coverage</x:v>
      </x:c>
      <x:c r="F301" s="11" t="str">
        <x:v>sidered for the allowable Floor Area Ratio for the proposed development. But while calculating the plot coverage percentage, the rest of the plot, excluding the portion belonging to the street line/proposed road width should be considered. 7. In cases where the development premises face more than one road having right of way with a minimum width of 6 m or more than that and connected to main roads independently, the sum of the widths of all those roads may be considered as the access road width to calculate the permissible development on a case-by-case basis. 8. In cases of bank cutting for construction work on a sloped land, the recommendations of the relevant institutions should be obtained and a space of at least 1 meter should be allocate || ed. 7. In cases where the development premises face more than one road having right of way with a minimum width of 6 m or more than that and connected to main roads independently, the sum of the widths of all those roads may be considered as the access road width to calculate the permissible development on a case-by-case basis. 8. In cases of bank cutting for construction work on a sloped land, the recommendations of the relevant institutions should be obtained and a space of at least 1 meter should be allocated from the upper edge of the cutting plane to the border of the adjacent fence.</x:v>
      </x:c>
      <x:c r="G301" s="11" t="str">
        <x:v>candidate_unreviewed</x:v>
      </x:c>
      <x:c r="H301" s="24" t="b">
        <x:v>0</x:v>
      </x:c>
      <x:c r="I301" s="11" t="str">
        <x:v>Keyword extraction only. Read page image and full context before promoting. English search cannot exclude Sinhala/Tamil or image-only content.</x:v>
      </x:c>
    </x:row>
    <x:row r="302" ht="98" customHeight="1">
      <x:c r="A302" s="8" t="str">
        <x:v>C00301</x:v>
      </x:c>
      <x:c r="B302" s="8" t="str">
        <x:v>SRC_0056</x:v>
      </x:c>
      <x:c r="C302" s="8" t="str">
        <x:v>MahiyanganayaEnglish.pdf</x:v>
      </x:c>
      <x:c r="D302" s="18" t="n">
        <x:v>259</x:v>
      </x:c>
      <x:c r="E302" s="8" t="str">
        <x:v>setbacks</x:v>
      </x:c>
      <x:c r="F302" s="8" t="str">
        <x:v>ible Maximum Plot Coverage As per the form “B” in Schedule II and form “E” in Schedule III 8 Setbacks &amp; maximum height As per the form “E” in Schedule III 9 Minimum land extent for sub division 150 sq m 10 Permissible uses As per the form “F” in Schedule IV &amp; “G” in Schedule V</x:v>
      </x:c>
      <x:c r="G302" s="8" t="str">
        <x:v>candidate_unreviewed</x:v>
      </x:c>
      <x:c r="H302" s="21" t="b">
        <x:v>0</x:v>
      </x:c>
      <x:c r="I302" s="8" t="str">
        <x:v>Keyword extraction only. Read page image and full context before promoting. English search cannot exclude Sinhala/Tamil or image-only content.</x:v>
      </x:c>
    </x:row>
    <x:row r="303" ht="224" customHeight="1">
      <x:c r="A303" s="11" t="str">
        <x:v>C00302</x:v>
      </x:c>
      <x:c r="B303" s="11" t="str">
        <x:v>SRC_0056</x:v>
      </x:c>
      <x:c r="C303" s="11" t="str">
        <x:v>MahiyanganayaEnglish.pdf</x:v>
      </x:c>
      <x:c r="D303" s="22" t="n">
        <x:v>260</x:v>
      </x:c>
      <x:c r="E303" s="11" t="str">
        <x:v>plot coverage</x:v>
      </x:c>
      <x:c r="F303" s="11" t="str">
        <x:v>6-2036 244 11 Common zoning regulations a. The remaining land in addition to the approved plot coverage of the proposed residential uses shall be maintained as green cover. b. The area between the building and the parking area on both sides of the main roads shall be used for landscaping. (For the installation of footpaths, street lamps and landscaping) c. The necessary guidelines and strategic plans shall be prepared to encourage new technological infrastructure facilities, and the planning and building regulations may be relaxed at the discretion of the Authority to encourage these commercial uses. Table No.8.2: Medium Density Residential Zone 1 Main Zone Residential Zone 2 Definition of zones Residential developme</x:v>
      </x:c>
      <x:c r="G303" s="11" t="str">
        <x:v>candidate_unreviewed</x:v>
      </x:c>
      <x:c r="H303" s="24" t="b">
        <x:v>0</x:v>
      </x:c>
      <x:c r="I303" s="11" t="str">
        <x:v>Keyword extraction only. Read page image and full context before promoting. English search cannot exclude Sinhala/Tamil or image-only content.</x:v>
      </x:c>
    </x:row>
    <x:row r="304" ht="224" customHeight="1">
      <x:c r="A304" s="8" t="str">
        <x:v>C00303</x:v>
      </x:c>
      <x:c r="B304" s="8" t="str">
        <x:v>SRC_0056</x:v>
      </x:c>
      <x:c r="C304" s="8" t="str">
        <x:v>MahiyanganayaEnglish.pdf</x:v>
      </x:c>
      <x:c r="D304" s="18" t="n">
        <x:v>261</x:v>
      </x:c>
      <x:c r="E304" s="8" t="str">
        <x:v>setbacks</x:v>
      </x:c>
      <x:c r="F304" s="8" t="str">
        <x:v>Mahiyanganaya Development Plan 2026-2036 245 Maximum Plot Coverage Schedule III 8 Setbacks &amp; maximum height As per the form “E” in Schedule III 9 Minimum land extent for sub division Residential - 500 Sq.m. Commercial - 500 Sq.m 10 Permissible uses As per the form “F” in Schedule IV &amp; “G” in Schedule V 11 Common zoning regulations a. In addition to the approved land area coverage of the proposed residential uses, 35% of the remaining land should be maintained as green cover. b. The area between the building and the parking area on both sides of the main roads should be used for landscaping. (For the installation of footpaths, street lamps and landscaping) c. The necessary guidelines and strategic pla</x:v>
      </x:c>
      <x:c r="G304" s="8" t="str">
        <x:v>candidate_unreviewed</x:v>
      </x:c>
      <x:c r="H304" s="21" t="b">
        <x:v>0</x:v>
      </x:c>
      <x:c r="I304" s="8" t="str">
        <x:v>Keyword extraction only. Read page image and full context before promoting. English search cannot exclude Sinhala/Tamil or image-only content.</x:v>
      </x:c>
    </x:row>
    <x:row r="305" ht="224" customHeight="1">
      <x:c r="A305" s="11" t="str">
        <x:v>C00304</x:v>
      </x:c>
      <x:c r="B305" s="11" t="str">
        <x:v>SRC_0056</x:v>
      </x:c>
      <x:c r="C305" s="11" t="str">
        <x:v>MahiyanganayaEnglish.pdf</x:v>
      </x:c>
      <x:c r="D305" s="22" t="n">
        <x:v>262</x:v>
      </x:c>
      <x:c r="E305" s="11" t="str">
        <x:v>setbacks</x:v>
      </x:c>
      <x:c r="F305" s="11" t="str">
        <x:v>le Maximum Plot Coverage Existing uses are maintained and new construction is not promoted. 8 Setbacks &amp; maximum height Existing uses are maintained and new construction is not promoted. 9 Minimum land extent for sub division 1000 Sq.m. 10 Permissible uses As per the form “F” in Schedule IV &amp; “G” in Schedule V 11 Common zoning regulations a. Preliminary planning clearance should be obtained from the Urban Development Authority for the all development activities. b. New constructions will not be permitted. c. Existing buildings will be permitted to be renovated in the same manner. d. Outdoor recreation and entertainment activities will be permitted. (Walkways/ Linear Parks/ Boat Jetties/ Ferry Shelters/ Safe Bath</x:v>
      </x:c>
      <x:c r="G305" s="11" t="str">
        <x:v>candidate_unreviewed</x:v>
      </x:c>
      <x:c r="H305" s="24" t="b">
        <x:v>0</x:v>
      </x:c>
      <x:c r="I305" s="11" t="str">
        <x:v>Keyword extraction only. Read page image and full context before promoting. English search cannot exclude Sinhala/Tamil or image-only content.</x:v>
      </x:c>
    </x:row>
    <x:row r="306" ht="126" customHeight="1">
      <x:c r="A306" s="8" t="str">
        <x:v>C00305</x:v>
      </x:c>
      <x:c r="B306" s="8" t="str">
        <x:v>SRC_0056</x:v>
      </x:c>
      <x:c r="C306" s="8" t="str">
        <x:v>MahiyanganayaEnglish.pdf</x:v>
      </x:c>
      <x:c r="D306" s="18" t="n">
        <x:v>264</x:v>
      </x:c>
      <x:c r="E306" s="8" t="str">
        <x:v>setbacks</x:v>
      </x:c>
      <x:c r="F306" s="8" t="str">
        <x:v>ible Maximum Plot Coverage As per the form “B” in Schedule II and form “E” in Schedule III 8 Setbacks &amp; maximum height As per the form “E” in Schedule III 9 Minimum land extent for sub division 500 Sq.m. 10 Permissible uses Sacred Area and related uses declared by the National Physical Planning Department/ / As per the form “F” in Schedule IV &amp; “G” in Schedule V</x:v>
      </x:c>
      <x:c r="G306" s="8" t="str">
        <x:v>candidate_unreviewed</x:v>
      </x:c>
      <x:c r="H306" s="21" t="b">
        <x:v>0</x:v>
      </x:c>
      <x:c r="I306" s="8" t="str">
        <x:v>Keyword extraction only. Read page image and full context before promoting. English search cannot exclude Sinhala/Tamil or image-only content.</x:v>
      </x:c>
    </x:row>
    <x:row r="307" ht="112" customHeight="1">
      <x:c r="A307" s="11" t="str">
        <x:v>C00306</x:v>
      </x:c>
      <x:c r="B307" s="11" t="str">
        <x:v>SRC_0056</x:v>
      </x:c>
      <x:c r="C307" s="11" t="str">
        <x:v>MahiyanganayaEnglish.pdf</x:v>
      </x:c>
      <x:c r="D307" s="22" t="n">
        <x:v>266</x:v>
      </x:c>
      <x:c r="E307" s="11" t="str">
        <x:v>setbacks</x:v>
      </x:c>
      <x:c r="F307" s="11" t="str">
        <x:v>the remaining area should be landscaped and maintained as an environmentally friendly area. 8 Setbacks &amp; maximum height As per the form “E” in Schedule III 9 Minimum land extent for sub division Maintain the existing uses and does not promote new construction 10 Permissible uses As per the form “F” in Schedule IV &amp; “G” in Schedule V</x:v>
      </x:c>
      <x:c r="G307" s="11" t="str">
        <x:v>candidate_unreviewed</x:v>
      </x:c>
      <x:c r="H307" s="24" t="b">
        <x:v>0</x:v>
      </x:c>
      <x:c r="I307" s="11" t="str">
        <x:v>Keyword extraction only. Read page image and full context before promoting. English search cannot exclude Sinhala/Tamil or image-only content.</x:v>
      </x:c>
    </x:row>
    <x:row r="308" ht="210" customHeight="1">
      <x:c r="A308" s="8" t="str">
        <x:v>C00307</x:v>
      </x:c>
      <x:c r="B308" s="8" t="str">
        <x:v>SRC_0056</x:v>
      </x:c>
      <x:c r="C308" s="8" t="str">
        <x:v>MahiyanganayaEnglish.pdf</x:v>
      </x:c>
      <x:c r="D308" s="18" t="n">
        <x:v>273</x:v>
      </x:c>
      <x:c r="E308" s="8" t="str">
        <x:v>plot coverage</x:v>
      </x:c>
      <x:c r="F308" s="8" t="str">
        <x:v>" Number of Floors for 3.0m. and 4.5m. wide roads Minimum Road Width Minimum Site Frontage plot Coverage* Maximum Number of Floors Zone Factor 0.5 - 0.74 Zone Factor 0.75 - 1.24 Zone Factor 1.25 - 3.49 Zone Factor 3.50 - 4.00 3.0 Meters 6 Meters 65% 1 (G) 2 (G+1) 3 (G+2) 3 (G+2) 4.5 Meters 6 Meters 65% 1 (G) 2 (G+1) 3 (G+2) 4 (G+3) Number of floors are indicated including parking areas. Number of units allowed for each road shall not changed. * Where not plot coverage specified under the zoning regulations || including parking areas. Number of units allowed for each road shall not changed. * Where not plot coverage specified under the zoning regulations</x:v>
      </x:c>
      <x:c r="G308" s="8" t="str">
        <x:v>candidate_unreviewed</x:v>
      </x:c>
      <x:c r="H308" s="21" t="b">
        <x:v>0</x:v>
      </x:c>
      <x:c r="I308" s="8" t="str">
        <x:v>Keyword extraction only. Read page image and full context before promoting. English search cannot exclude Sinhala/Tamil or image-only content.</x:v>
      </x:c>
    </x:row>
    <x:row r="309" ht="602" customHeight="1">
      <x:c r="A309" s="11" t="str">
        <x:v>C00308</x:v>
      </x:c>
      <x:c r="B309" s="11" t="str">
        <x:v>SRC_0056</x:v>
      </x:c>
      <x:c r="C309" s="11" t="str">
        <x:v>MahiyanganayaEnglish.pdf</x:v>
      </x:c>
      <x:c r="D309" s="22" t="n">
        <x:v>274</x:v>
      </x:c>
      <x:c r="E309" s="11" t="str">
        <x:v>plot coverage, setbacks</x:v>
      </x:c>
      <x:c r="F309" s="11" t="str">
        <x:v>Mahiyanganaya Development Plan 2026-2036 258 Schedule III – Form "E": . Setbacks and Open Spaces published by the Urban Development Authority under the Gazette No. 2235/54 dated 07/08/2021 Form "E": Setbacks and Open Spaces Building Height (m) Minimum Site Frontage (m) Plot Coverage* Rear Space (m) Side Space (m) light Well for NLV Non Residential Residential When no NLV is taking this end (m) When NLV is taking this end (m) When no NLV is taking this end (m) When NLV is taking this end (m) Minimum Width (m) Minimum Area (Sq.m.) Less than 7 6 80%** 65% 2.3 meters 2.3 meters - 2.3 meters 2.3 meters. 5 Sq.m. 7 less than 15 6 65% 65% 3.0 meters 3.0 meters - 3.0 meters 3.0 || shed by the Urban Development Authority under the Gazette No. 2235/54 dated 07/08/2021 Form "E": Setbacks and Open Spaces Building Height (m) Minimum Site Frontage (m) Plot Coverage* Rear Space (m) Side Space (m) light Well for NLV Non Residential Residential When no NLV is taking this end (m) When NLV is taking this end (m) When no NLV is taking this end (m) When NLV is taking this end (m) Minimum Width (m) Minimum Area (Sq.m.) Less than 7 6 80%** 65% 2.3 meters 2.3 meters - 2.3 meters 2.3 meters. 5 Sq.m. 7 less than 15 6 65% 65% 3.0 meters 3.0 meters - 3.0 meters 3.0 meters. 9 Sq.m. 15 less than 30 12 65% 65% 4.0 meters 4.0 meters 1.0 m. &amp; 3.0m. 4.0 meters 4.0 meters. 16 Sq.m. 3 || 07/08/2021 Form "E": Setbacks and Open Spaces Building Height (m) Minimum Site Frontage (m) Plot Coverage* Rear Space (m) Side Space (m) light Well for NLV Non Residential Residential When no NLV is taking this end (m) When NLV is taking this end (m) When no NLV is taking this end (m) When NLV is taking this end (m) Minimum Width (m) Minimum Area (Sq.m.) Less than 7 6 80%** 65% 2.3 meters 2.3 meters - 2.3 meters 2.3 meters. 5 Sq.m. 7 less than 15 6 65% 65% 3.0 meters 3.0 meters - 3.0 meters 3.0 meters. 9 Sq.m. 15 less than 30 12 65% 65% 4.0 meters 4.0 meters 1.0 m. &amp; 3.0m. 4.0 meters 4.0 meters. 16 Sq.m. 30 less than 50 20 65% 65% 4.0 meters 5.0 meters 3.0m. both side 5.0 met</x:v>
      </x:c>
      <x:c r="G309" s="11" t="str">
        <x:v>candidate_unreviewed</x:v>
      </x:c>
      <x:c r="H309" s="24" t="b">
        <x:v>0</x:v>
      </x:c>
      <x:c r="I309" s="11" t="str">
        <x:v>Keyword extraction only. Read page image and full context before promoting. English search cannot exclude Sinhala/Tamil or image-only content.</x:v>
      </x:c>
    </x:row>
    <x:row r="310" ht="98" customHeight="1">
      <x:c r="A310" s="8" t="str">
        <x:v>C00309</x:v>
      </x:c>
      <x:c r="B310" s="8" t="str">
        <x:v>SRC_0056</x:v>
      </x:c>
      <x:c r="C310" s="8" t="str">
        <x:v>MahiyanganayaEnglish.pdf</x:v>
      </x:c>
      <x:c r="D310" s="18" t="n">
        <x:v>275</x:v>
      </x:c>
      <x:c r="E310" s="8" t="str">
        <x:v>plot coverage</x:v>
      </x:c>
      <x:c r="F310" s="8" t="str">
        <x:v>Plan 2026-2036 259 ** the entire development is for non-residential activities *** 65% plot coverage can be allowed only for the podium level not exceeding 205 of the tower height or 12 floors whichever is less. **** minimum area shall be increased by 1 Sq. m. for every additional 3 m. height.</x:v>
      </x:c>
      <x:c r="G310" s="8" t="str">
        <x:v>candidate_unreviewed</x:v>
      </x:c>
      <x:c r="H310" s="21" t="b">
        <x:v>0</x:v>
      </x:c>
      <x:c r="I310" s="8" t="str">
        <x:v>Keyword extraction only. Read page image and full context before promoting. English search cannot exclude Sinhala/Tamil or image-only content.</x:v>
      </x:c>
    </x:row>
    <x:row r="311" ht="644" customHeight="1">
      <x:c r="A311" s="11" t="str">
        <x:v>C00310</x:v>
      </x:c>
      <x:c r="B311" s="11" t="str">
        <x:v>SRC_0057</x:v>
      </x:c>
      <x:c r="C311" s="11" t="str">
        <x:v>Maho Development Plan - English.pdf</x:v>
      </x:c>
      <x:c r="D311" s="22" t="n">
        <x:v>207</x:v>
      </x:c>
      <x:c r="E311" s="11" t="str">
        <x:v>plot coverage, setbacks</x:v>
      </x:c>
      <x:c r="F311" s="11" t="str">
        <x:v>hority Table No 7.3. : Form B - Number of Floors for 3m &amp; 4.5m wide Roads Table No 7.4. : Form E - Setbacks Form B - Number of Floors for 3m &amp; 4.5m wide Roads Minimum Road Width Minimum Site Frontage * Plot Coverage Maximum Number of Floors Zone Factor 0.5 - 0.74 Zone Factor 0.75 - 1.24 Zone Factor 1.25 - 3.49 Zone Factor 3.50 - 4.00 3.0m 6m 65% 1 (G) 2 (G+1) 3 (G+2) 3 (G+2) 4.5m 6m 65% 1 (G) 2 (G+1) 3 (G+2) 4 (G+3) Number of floors are indicated including parking areas Number of units allowed for each road shall not be changed * Where no plot coverage specified under the zoning regulations Source: North Western Provincial office, Urban Development Authority, 2020 Source: North Western Provincial office, Urban Development Au || d including parking areas Number of units allowed for each road shall not be changed * Where no plot coverage specified under the zoning regulations Source: North Western Provincial office, Urban Development Authority, 2020 Source: North Western Provincial office, Urban Development Authority, 2020 Form E - Setbacks &amp; Open Spaces Building Category Building Height (m) Mini- mum Site Front- age (m) Plot Coverage * Rear Space (m) Side Space (m) Light Well for NLV Non Resi- dential Residen- tial When no NLV is taking this end When NLV is taking this end When no NLV is taking this end When NLV is taking this end Minimum width Minimum Area Low Rise less than 7 6 80%** 65% 2.3m 2.3m - 2.3m 2.3m 5 Sq.m 7 less than 15 6 65% 65% || Authority, 2020 Source: North Western Provincial office, Urban Development Authority, 2020 Form E - Setbacks &amp; Open Spaces Building Category Building Height (m) Mini- mum Site Front- age (m) Plot Coverage * Rear Space (m) Side Space (m) Light Well for NLV Non Resi- dential Residen- tial When no NLV is taking this end When NLV is taking this end When no NLV is taking this end When NLV is taking this end Minimum width Minimum Area Low Rise less than 7 6 80%** 65% 2.3m 2.3m - 2.3m 2.3m 5 Sq.m 7 less than 15 6 65% 65% 3.0m 3.0m - 3.0m 3.0m 9 Sq.m Inter Mediate Rise 15 less than 30 12 65% 65% 4.0m 4.0m 1.0m and 3.0m 4.0m 4.0m 16 Sq.m Middle Rise 30 less than 50 20 65% 65% 4.0m 5.0m 3.0m both side 5.0m 5.0m 25 Sq.m H</x:v>
      </x:c>
      <x:c r="G311" s="11" t="str">
        <x:v>candidate_unreviewed</x:v>
      </x:c>
      <x:c r="H311" s="24" t="b">
        <x:v>0</x:v>
      </x:c>
      <x:c r="I311" s="11" t="str">
        <x:v>Keyword extraction only. Read page image and full context before promoting. English search cannot exclude Sinhala/Tamil or image-only content.</x:v>
      </x:c>
    </x:row>
    <x:row r="312" ht="224" customHeight="1">
      <x:c r="A312" s="8" t="str">
        <x:v>C00311</x:v>
      </x:c>
      <x:c r="B312" s="8" t="str">
        <x:v>SRC_0057</x:v>
      </x:c>
      <x:c r="C312" s="8" t="str">
        <x:v>Maho Development Plan - English.pdf</x:v>
      </x:c>
      <x:c r="D312" s="18" t="n">
        <x:v>248</x:v>
      </x:c>
      <x:c r="E312" s="8" t="str">
        <x:v>setbacks</x:v>
      </x:c>
      <x:c r="F312" s="8" t="str">
        <x:v>io Table No 7.3 - Form B - Number of Floors for 3m &amp; 4.5m wide Roads Table No 7.4 - Form C – Setbacks Table No 8.1.1 Commercial Zone I - Zoning guidelines Table No : 8.1.2 Commercial Zone I- Permissible uses Table No 8.2.1 Commercial Zone II - Zoning guidelines Table No: 8.2.2 Commercial Zone II- Permissible uses Table No 8.3.1 Mix development Zone - Zoning guidelines Table No 8.3.2 Mix development Zone - Permissible uses Table No 8.4.1 Residential Zone - Zoning guidelines Table No: 8.4.2 Residential Zone - Permissible uses Table No: 8.5.1 Agro Residential Zone - Zoning guidelines Table No: 8.5.2 Agro Residential Zone - Permissible uses Table No: 8.6.1 Archeological Tourism Zone - Zoning guidelines Table No: 8.6.2 Arch</x:v>
      </x:c>
      <x:c r="G312" s="8" t="str">
        <x:v>candidate_unreviewed</x:v>
      </x:c>
      <x:c r="H312" s="21" t="b">
        <x:v>0</x:v>
      </x:c>
      <x:c r="I312" s="8" t="str">
        <x:v>Keyword extraction only. Read page image and full context before promoting. English search cannot exclude Sinhala/Tamil or image-only content.</x:v>
      </x:c>
    </x:row>
    <x:row r="313" ht="140" customHeight="1">
      <x:c r="A313" s="11" t="str">
        <x:v>C00312</x:v>
      </x:c>
      <x:c r="B313" s="11" t="str">
        <x:v>SRC_0059</x:v>
      </x:c>
      <x:c r="C313" s="11" t="str">
        <x:v>Mannar Development Plan - English.pdf</x:v>
      </x:c>
      <x:c r="D313" s="22" t="n">
        <x:v>64</x:v>
      </x:c>
      <x:c r="E313" s="11" t="str">
        <x:v>plot coverage</x:v>
      </x:c>
      <x:c r="F313" s="11" t="str">
        <x:v>t the transition point with mixed use activities and it’s differentiated through floor area ratio, plot coverage and mixed urban activities. Nearby essential activities comprising with schools, hospitals and administrative structures for the local dwellers which assist and promote the walkability and urban design form of entire Mannar Island. Once seen the low-rise structure of mixed-use activities can be experience the pure wind through the</x:v>
      </x:c>
      <x:c r="G313" s="11" t="str">
        <x:v>candidate_unreviewed</x:v>
      </x:c>
      <x:c r="H313" s="24" t="b">
        <x:v>0</x:v>
      </x:c>
      <x:c r="I313" s="11" t="str">
        <x:v>Keyword extraction only. Read page image and full context before promoting. English search cannot exclude Sinhala/Tamil or image-only content.</x:v>
      </x:c>
    </x:row>
    <x:row r="314" ht="84" customHeight="1">
      <x:c r="A314" s="8" t="str">
        <x:v>C00313</x:v>
      </x:c>
      <x:c r="B314" s="8" t="str">
        <x:v>SRC_0059</x:v>
      </x:c>
      <x:c r="C314" s="8" t="str">
        <x:v>Mannar Development Plan - English.pdf</x:v>
      </x:c>
      <x:c r="D314" s="18" t="n">
        <x:v>124</x:v>
      </x:c>
      <x:c r="E314" s="8" t="str">
        <x:v>staircase</x:v>
      </x:c>
      <x:c r="F314" s="8" t="str">
        <x:v>1. Site Preparation 0.50 M 2. Excavation 0.50 M 3. Timber Post Construction 0.75 M 4. Steel staircase 5.00 M 5. Timber Deck 0.40 M 6. Safety Glass 0.45 M 7. Lighting 0.40 M 8. Seating 0.20 M 9. Tensile Roof 0.30 M 50 ft 15 ft</x:v>
      </x:c>
      <x:c r="G314" s="8" t="str">
        <x:v>candidate_unreviewed</x:v>
      </x:c>
      <x:c r="H314" s="21" t="b">
        <x:v>0</x:v>
      </x:c>
      <x:c r="I314" s="8" t="str">
        <x:v>Keyword extraction only. Read page image and full context before promoting. English search cannot exclude Sinhala/Tamil or image-only content.</x:v>
      </x:c>
    </x:row>
    <x:row r="315" ht="602" customHeight="1">
      <x:c r="A315" s="11" t="str">
        <x:v>C00314</x:v>
      </x:c>
      <x:c r="B315" s="11" t="str">
        <x:v>SRC_0059</x:v>
      </x:c>
      <x:c r="C315" s="11" t="str">
        <x:v>Mannar Development Plan - English.pdf</x:v>
      </x:c>
      <x:c r="D315" s="22" t="n">
        <x:v>152</x:v>
      </x:c>
      <x:c r="E315" s="11" t="str">
        <x:v>plot coverage, setbacks</x:v>
      </x:c>
      <x:c r="F315" s="11" t="str">
        <x:v>he particular development Plan Form B - Number of Floors for 03m &amp; 4.5m Wide Roads. Form E - Setbacks Building Category Building Height (m) Minimum Site Frontage (m) Plot Coverage * Rear Space (m) Side Space (m) Light Well for NLV Non Residential Residen tial When no NLV is taking this end When NLV is takin g this end When no NLV is taking this end When NLV is taking this end Minimu m width Minimu m Area Low Rise less than 7 6 80%** 65% 2.3m 2.3m - 2.3m 2.3m 5 Sq.m 7 less than 15 6 65% 65% 3.0m 3.0m - 3.0m 3.0m 9 Sq.m Inter Mediate Rise 15 less than 30 12 65% 65% 4.0m 4.0m 1.0m and 3.0m 4.0m 4.0m 16 Sq.m Middle Rise 30 less than 50 20 65% 65% 4.0m 5.0m || ads. Form E - Setbacks Building Category Building Height (m) Minimum Site Frontage (m) Plot Coverage * Rear Space (m) Side Space (m) Light Well for NLV Non Residential Residen tial When no NLV is taking this end When NLV is takin g this end When no NLV is taking this end When NLV is taking this end Minimu m width Minimu m Area Low Rise less than 7 6 80%** 65% 2.3m 2.3m - 2.3m 2.3m 5 Sq.m 7 less than 15 6 65% 65% 3.0m 3.0m - 3.0m 3.0m 9 Sq.m Inter Mediate Rise 15 less than 30 12 65% 65% 4.0m 4.0m 1.0m and 3.0m 4.0m 4.0m 16 Sq.m Middle Rise 30 less than 50 20 65% 65% 4.0m 5.0m 3.0m both side 5.0m 5.0m 25 Sq.m High Rise 50 less than 75 30 50%*** || Height between access road level to roof top or roof level (Including parking floors) * Where no Plot Coverage specified under the zoning regulations ** The entire development is for non-residential activities *** 65% plot coverage can be allowed only for the podium level not exceeding 20% of the tower height or 12 floors which ever is less **** Minimum area shall be increased by 1 Sq.m for every additional 3m height Form B - Number of Floors for 3.0m &amp; 4.5m wide Roads Minimum Road Width Minimum Site Frontage Plot Coverage* Maximum Number of Floors Zone Factor 0.5 - 0.74 Zone Factor 0.75 - 1.24 Zone Factor 1.25 - 3.49 Zone Factor 3.50 - 4.00 3.0m 6m 65% 1 (G) 2 (G+1) 3 (G+2) 3 (G+2) 4.5m 6m 65% 1 (G) 2 (G+1)</x:v>
      </x:c>
      <x:c r="G315" s="11" t="str">
        <x:v>candidate_unreviewed</x:v>
      </x:c>
      <x:c r="H315" s="24" t="b">
        <x:v>0</x:v>
      </x:c>
      <x:c r="I315" s="11" t="str">
        <x:v>Keyword extraction only. Read page image and full context before promoting. English search cannot exclude Sinhala/Tamil or image-only content.</x:v>
      </x:c>
    </x:row>
    <x:row r="316" ht="224" customHeight="1">
      <x:c r="A316" s="8" t="str">
        <x:v>C00315</x:v>
      </x:c>
      <x:c r="B316" s="8" t="str">
        <x:v>SRC_0059</x:v>
      </x:c>
      <x:c r="C316" s="8" t="str">
        <x:v>Mannar Development Plan - English.pdf</x:v>
      </x:c>
      <x:c r="D316" s="18" t="n">
        <x:v>161</x:v>
      </x:c>
      <x:c r="E316" s="8" t="str">
        <x:v>plot coverage</x:v>
      </x:c>
      <x:c r="F316" s="8" t="str">
        <x:v>sand dune area, if any structures comes more than 150 sq.m, plot size should be more than 80P and plot coverage should not less than 50%. (Refer the Annexure No 21: Sand dune Area Map &amp; Cross Section for Sourthern Coastal Line of Mannar Island) Table 13: Permissible Uses for Mixed Development Zone No Permissible uses Minimum Extent of the land (sqm) Commercial i. Retail shop 250 ii. Fish/meal market 1000 iii. Vegetable market iv. Whole sale shop v. Supermarket vi. wine shop &amp; Bar 150 vii. Stores &lt; 500 sq.m 1000 viii. Fuel station 1000 ix. Art gallery 250 x. Gift center xi. Ornamental shops xii. Shows room 1000 xiii. Service station xiv. warehouse 2000 Residential i. Single Units House 250 ii</x:v>
      </x:c>
      <x:c r="G316" s="8" t="str">
        <x:v>candidate_unreviewed</x:v>
      </x:c>
      <x:c r="H316" s="21" t="b">
        <x:v>0</x:v>
      </x:c>
      <x:c r="I316" s="8" t="str">
        <x:v>Keyword extraction only. Read page image and full context before promoting. English search cannot exclude Sinhala/Tamil or image-only content.</x:v>
      </x:c>
    </x:row>
    <x:row r="317" ht="224" customHeight="1">
      <x:c r="A317" s="11" t="str">
        <x:v>C00316</x:v>
      </x:c>
      <x:c r="B317" s="11" t="str">
        <x:v>SRC_0059</x:v>
      </x:c>
      <x:c r="C317" s="11" t="str">
        <x:v>Mannar Development Plan - English.pdf</x:v>
      </x:c>
      <x:c r="D317" s="22" t="n">
        <x:v>163</x:v>
      </x:c>
      <x:c r="E317" s="11" t="str">
        <x:v>plot coverage</x:v>
      </x:c>
      <x:c r="F317" s="11" t="str">
        <x:v>sed on the zoning factor the height will be permitted d. Permissible Maximum plots coverage 60% plot coverage will be permitted for this Zone d. Other details regarding the zone For all kind of development, the clearance should be obtained from NWS&amp;DB Table 15: Permissible Uses for Conservation Zone No Permissible uses Minimum Extent of the land (sqm) Commercial i. Retail shop 150 Residential i. Single Units House 150 Institute i. Government institutions/office,Water related only) 500 8.1.5. Zone 05_Industrial Zone Expected nature of zone 5 is moderate density development which will be maintained as predominantly industrial. The development plan itself demands a prominent area for industries through the goals. Speci</x:v>
      </x:c>
      <x:c r="G317" s="11" t="str">
        <x:v>candidate_unreviewed</x:v>
      </x:c>
      <x:c r="H317" s="24" t="b">
        <x:v>0</x:v>
      </x:c>
      <x:c r="I317" s="11" t="str">
        <x:v>Keyword extraction only. Read page image and full context before promoting. English search cannot exclude Sinhala/Tamil or image-only content.</x:v>
      </x:c>
    </x:row>
    <x:row r="318" ht="224" customHeight="1">
      <x:c r="A318" s="8" t="str">
        <x:v>C00317</x:v>
      </x:c>
      <x:c r="B318" s="8" t="str">
        <x:v>SRC_0059</x:v>
      </x:c>
      <x:c r="C318" s="8" t="str">
        <x:v>Mannar Development Plan - English.pdf</x:v>
      </x:c>
      <x:c r="D318" s="18" t="n">
        <x:v>165</x:v>
      </x:c>
      <x:c r="E318" s="8" t="str">
        <x:v>minimum width</x:v>
      </x:c>
      <x:c r="F318" s="8" t="str">
        <x:v>No ground water extraction shall be permitted. 3. Internal service roads should be maintaining the minimum width of 20 feet for industries and warehouses. 4. Green building certification should be obtained. 5. Clearance should be obtained from CEA, CCD and relevant authorities if necessary Table 17: Permissible Uses for Industrial Zone No Permissible uses Minimum Extent of the land (sqm) Commercial i. Retail shop 150 ii. Stores &gt;100 sq.m 300 Institute i. Bank 300 ii. Quarters Social Service i. Day care center 500 Industry i. Medium scale Industries 1000 ii. Large scale industries 3000 iii. Ware House 2000 8.1.6.Zone 06_Environment &amp; Tourisum Zone The Zone 6 is an ideal location having less density which</x:v>
      </x:c>
      <x:c r="G318" s="8" t="str">
        <x:v>candidate_unreviewed</x:v>
      </x:c>
      <x:c r="H318" s="21" t="b">
        <x:v>0</x:v>
      </x:c>
      <x:c r="I318" s="8" t="str">
        <x:v>Keyword extraction only. Read page image and full context before promoting. English search cannot exclude Sinhala/Tamil or image-only content.</x:v>
      </x:c>
    </x:row>
    <x:row r="319" ht="224" customHeight="1">
      <x:c r="A319" s="11" t="str">
        <x:v>C00318</x:v>
      </x:c>
      <x:c r="B319" s="11" t="str">
        <x:v>SRC_0059</x:v>
      </x:c>
      <x:c r="C319" s="11" t="str">
        <x:v>Mannar Development Plan - English.pdf</x:v>
      </x:c>
      <x:c r="D319" s="22" t="n">
        <x:v>166</x:v>
      </x:c>
      <x:c r="E319" s="11" t="str">
        <x:v>plot coverage</x:v>
      </x:c>
      <x:c r="F319" s="11" t="str">
        <x:v>sed on the zoning factor the height will be permitted d. Permissible Maximum plots coverage 60% plot coverage will be permitted for this Zone e. Other details regarding the zone 1. Approvals should be obtain from relevant agencies (CEA and Department of Wild Life). 2. If any development comes within 300m from coastal area, clearance should be obtained from CCD. 3. If any development comes within the sand dunes area, clearance should be obtained from CEA. Table 19: Permissible Uses for Environment and Tourisum Plan No Permissible uses Minimum Extent of the land (sqm) Commercial i. Super market 150 ii. Wine shop 500 iii. Ornamental shops 150 iv. Gift center v. Art gallery Residential i. Single Units House 150 Educ</x:v>
      </x:c>
      <x:c r="G319" s="11" t="str">
        <x:v>candidate_unreviewed</x:v>
      </x:c>
      <x:c r="H319" s="24" t="b">
        <x:v>0</x:v>
      </x:c>
      <x:c r="I319" s="11" t="str">
        <x:v>Keyword extraction only. Read page image and full context before promoting. English search cannot exclude Sinhala/Tamil or image-only content.</x:v>
      </x:c>
    </x:row>
    <x:row r="320" ht="112" customHeight="1">
      <x:c r="A320" s="8" t="str">
        <x:v>C00319</x:v>
      </x:c>
      <x:c r="B320" s="8" t="str">
        <x:v>SRC_0059</x:v>
      </x:c>
      <x:c r="C320" s="8" t="str">
        <x:v>Mannar Development Plan - English.pdf</x:v>
      </x:c>
      <x:c r="D320" s="18" t="n">
        <x:v>169</x:v>
      </x:c>
      <x:c r="E320" s="8" t="str">
        <x:v>plot coverage</x:v>
      </x:c>
      <x:c r="F320" s="8" t="str">
        <x:v>lus religious activity and the Sub Zone 7 consists of commercial and Residence. The land extent, plot coverage and Floor Area Ratio details of the existing situation is mentioned as below Map and table. Figure 6: Identified Sub Zone - Development Guide Plan Area 1 2 3 4 5 6 7 Source: Prepared by UDA (NP)</x:v>
      </x:c>
      <x:c r="G320" s="8" t="str">
        <x:v>candidate_unreviewed</x:v>
      </x:c>
      <x:c r="H320" s="21" t="b">
        <x:v>0</x:v>
      </x:c>
      <x:c r="I320" s="8" t="str">
        <x:v>Keyword extraction only. Read page image and full context before promoting. English search cannot exclude Sinhala/Tamil or image-only content.</x:v>
      </x:c>
    </x:row>
    <x:row r="321" ht="210" customHeight="1">
      <x:c r="A321" s="11" t="str">
        <x:v>C00320</x:v>
      </x:c>
      <x:c r="B321" s="11" t="str">
        <x:v>SRC_0059</x:v>
      </x:c>
      <x:c r="C321" s="11" t="str">
        <x:v>Mannar Development Plan - English.pdf</x:v>
      </x:c>
      <x:c r="D321" s="22" t="n">
        <x:v>170</x:v>
      </x:c>
      <x:c r="E321" s="11" t="str">
        <x:v>plot coverage</x:v>
      </x:c>
      <x:c r="F321" s="11" t="str">
        <x:v>Mannar Development Plan 2021 - 2030 Page 165 Table 20: Details of land extent, plot coverage and Floor Area Ratio The existing land use of the development guide plan area is consisted with nearly 44.66% of institution and 27.53% of commercial uses. The rest of the parts are consisted with public, religious, recreational, vacant land, Main Road and local Roads. Figure 7: Land use Map of Development guide plan area Zone Use Land extent (sq.m) Plot coverage FAR 1 Commercial + Public amenities 19408 53 0.15 2 Commercial + Children Park 1945 81 0.8 3 Institution 40710 38 0.53 4 Commercial 2123 58 0.58 5 Commercial 8292 81 1.77 6 Commercial + Religious 2620 90 2.13 7</x:v>
      </x:c>
      <x:c r="G321" s="11" t="str">
        <x:v>candidate_unreviewed</x:v>
      </x:c>
      <x:c r="H321" s="24" t="b">
        <x:v>0</x:v>
      </x:c>
      <x:c r="I321" s="11" t="str">
        <x:v>Keyword extraction only. Read page image and full context before promoting. English search cannot exclude Sinhala/Tamil or image-only content.</x:v>
      </x:c>
    </x:row>
    <x:row r="322" ht="70" customHeight="1">
      <x:c r="A322" s="8" t="str">
        <x:v>C00321</x:v>
      </x:c>
      <x:c r="B322" s="8" t="str">
        <x:v>SRC_0059</x:v>
      </x:c>
      <x:c r="C322" s="8" t="str">
        <x:v>Mannar Development Plan - English.pdf</x:v>
      </x:c>
      <x:c r="D322" s="18" t="n">
        <x:v>172</x:v>
      </x:c>
      <x:c r="E322" s="8" t="str">
        <x:v>plot coverage</x:v>
      </x:c>
      <x:c r="F322" s="8" t="str">
        <x:v>G+1= 7, G+3=1) 2. Absence of parking space specially in commercial area 3. Higher plot coverage especially in commercial areas. Source: Prepared by UDA (NP)</x:v>
      </x:c>
      <x:c r="G322" s="8" t="str">
        <x:v>candidate_unreviewed</x:v>
      </x:c>
      <x:c r="H322" s="21" t="b">
        <x:v>0</x:v>
      </x:c>
      <x:c r="I322" s="8" t="str">
        <x:v>Keyword extraction only. Read page image and full context before promoting. English search cannot exclude Sinhala/Tamil or image-only content.</x:v>
      </x:c>
    </x:row>
    <x:row r="323" ht="210" customHeight="1">
      <x:c r="A323" s="11" t="str">
        <x:v>C00322</x:v>
      </x:c>
      <x:c r="B323" s="11" t="str">
        <x:v>SRC_0059</x:v>
      </x:c>
      <x:c r="C323" s="11" t="str">
        <x:v>Mannar Development Plan - English.pdf</x:v>
      </x:c>
      <x:c r="D323" s="22" t="n">
        <x:v>173</x:v>
      </x:c>
      <x:c r="E323" s="11" t="str">
        <x:v>plot coverage</x:v>
      </x:c>
      <x:c r="F323" s="11" t="str">
        <x:v>Mannar Development Plan 2021 - 2030 Page 168 Plot coverage Building (%) 100 49 80-99 14 &lt;80 37 4. Less plot size in commercial area Plot size (P) % &lt;2 30 2-4 31 4-6 16 &gt;6 23 5. Narrow roads due to violation of guidelines (Street line and building line) 6. Inconvenient environment (absence of greenery, shady, walkability) OPPORTUNITIES 1. Proposed projects (Redevelopment of public market, Development of commercial complex). 8.2.5. Permissible uses, Maximum Height and Guidelines  SUB ZONE: 1 According to the proposed development guidelines the sub zone 1 will have entirely commercial and public amenities character with green space including utility provision. As t</x:v>
      </x:c>
      <x:c r="G323" s="11" t="str">
        <x:v>candidate_unreviewed</x:v>
      </x:c>
      <x:c r="H323" s="24" t="b">
        <x:v>0</x:v>
      </x:c>
      <x:c r="I323" s="11" t="str">
        <x:v>Keyword extraction only. Read page image and full context before promoting. English search cannot exclude Sinhala/Tamil or image-only content.</x:v>
      </x:c>
    </x:row>
    <x:row r="324" ht="560" customHeight="1">
      <x:c r="A324" s="8" t="str">
        <x:v>C00323</x:v>
      </x:c>
      <x:c r="B324" s="8" t="str">
        <x:v>SRC_0059</x:v>
      </x:c>
      <x:c r="C324" s="8" t="str">
        <x:v>Mannar Development Plan - English.pdf</x:v>
      </x:c>
      <x:c r="D324" s="18" t="n">
        <x:v>174</x:v>
      </x:c>
      <x:c r="E324" s="8" t="str">
        <x:v>plot coverage</x:v>
      </x:c>
      <x:c r="F324" s="8" t="str">
        <x:v>2030 Page 169 iii. Guidelines a. Minimum Plot size should be 80 Perch b. The maximum Plot Coverage is 60% c. Green Space including utility provision should have 40% d. Boundary wall is not allowed and boundary shall be demarcated with soft landscape e. Required parking shall be provided within the premises (Refer the general Guidelines) f. Vehicle circulation should be shown in the plans g. Advertisement board except name of the building are not allowed in this zone h. Green belt should be maintained along the 1m reservation of the cannel for both side i. Building line (Refer the Proposed Road Width Table No 22 &amp; 23 )  SUB ZONE: 2 Also the current trend of the sub zone 2 has encroached by haphazard development of small || d less attractive of children park area as this place need to be regenerate with the plot size and plot coverage of the area. So this zone is meant for commercial activity with high plot coverage and attractive children park. i. Permissible Uses a. Commercial b. Children Park ii. Maximum Height of the building : 6-9 m iii. Guidelines a. Minimum Plot size should be 6 Perch b. The maximum Plot Coverage is 80% c. Boundary wall is not allowed and boundary shall be demarcated with soft landscape d. Parking should be 50% and required parking should be provided within the premises e. Masonry boundary wall is not allowed for children park || plot size and plot coverage of the area. So this zone is meant for commercial activity with high plot coverage and attractive children park. i. Permissible Uses a. Commercial b. Children Park ii. Maximum Height of the building : 6-9 m iii. Guidelines a. Minimum Plot size should be 6 Perch b. The maximum Plot Coverage is 80% c. Boundary wall is not allowed and boundary shall be demarcated with soft landscape d. Parking should be 50% and required parking should be provided within the premises e. Masonry boundary wall is not allowed for children park</x:v>
      </x:c>
      <x:c r="G324" s="8" t="str">
        <x:v>candidate_unreviewed</x:v>
      </x:c>
      <x:c r="H324" s="21" t="b">
        <x:v>0</x:v>
      </x:c>
      <x:c r="I324" s="8" t="str">
        <x:v>Keyword extraction only. Read page image and full context before promoting. English search cannot exclude Sinhala/Tamil or image-only content.</x:v>
      </x:c>
    </x:row>
    <x:row r="325" ht="224" customHeight="1">
      <x:c r="A325" s="11" t="str">
        <x:v>C00324</x:v>
      </x:c>
      <x:c r="B325" s="11" t="str">
        <x:v>SRC_0059</x:v>
      </x:c>
      <x:c r="C325" s="11" t="str">
        <x:v>Mannar Development Plan - English.pdf</x:v>
      </x:c>
      <x:c r="D325" s="22" t="n">
        <x:v>175</x:v>
      </x:c>
      <x:c r="E325" s="11" t="str">
        <x:v>plot coverage</x:v>
      </x:c>
      <x:c r="F325" s="11" t="str">
        <x:v>Height of the building : 12-15 m iii. Guidelines a. Minimum Plot size- 20 Perch b. The maximum Plot Coverage is 60% c. Green Space including utility provision should have 40% d. See through boundary walls are recommended and 1/3 of the boundary wall height shall be masonry wall. e. Existing historical building should be preserved. f. New residential development should not be allowed. g. Required parking should be provided within the premises h. Green building certification should be obtained i. Building line (Refer the Proposed Road Width Table No 22 &amp; 23 )  SUB ZONE: 4 Existing character of the zone is commercial development which is consist with 2 lot as Sathosa building which under construction and Public market which is in p</x:v>
      </x:c>
      <x:c r="G325" s="11" t="str">
        <x:v>candidate_unreviewed</x:v>
      </x:c>
      <x:c r="H325" s="24" t="b">
        <x:v>0</x:v>
      </x:c>
      <x:c r="I325" s="11" t="str">
        <x:v>Keyword extraction only. Read page image and full context before promoting. English search cannot exclude Sinhala/Tamil or image-only content.</x:v>
      </x:c>
    </x:row>
    <x:row r="326" ht="350" customHeight="1">
      <x:c r="A326" s="8" t="str">
        <x:v>C00325</x:v>
      </x:c>
      <x:c r="B326" s="8" t="str">
        <x:v>SRC_0059</x:v>
      </x:c>
      <x:c r="C326" s="8" t="str">
        <x:v>Mannar Development Plan - English.pdf</x:v>
      </x:c>
      <x:c r="D326" s="18" t="n">
        <x:v>176</x:v>
      </x:c>
      <x:c r="E326" s="8" t="str">
        <x:v>plot coverage</x:v>
      </x:c>
      <x:c r="F326" s="8" t="str">
        <x:v>ommercial complex – 15m b. Market Complex – 12m iii. Guidelines a. Sub division not allowed b. Plot Coverage- 80% c. Green Space including utility provision - 20% d. Boundary wall not allowed e. Required parking should be provided within the Building line f. Green building certification should be obtained g. Building line (Refer the Proposed Road Width Table No 22 &amp; 23)  SUB ZONE: 5 Highly Commercial developments agglomerated within this zone due to the available B class access road with high dense developments. And there is a huge demand for the commercial development trends in near future. Therefore proposed to develop this zone as commercial development with the following guide. i. Permissible Uses a. Commercial activity b. || on ii. Maximum Height of the building : 12m iii. Guidelines a. Minimum Plot Size – 6 Perch b. Plot Coverage- 80% c. Green Space including utility provision - 20% with green land scape d. Boundary wall not allowed e. Required 50% parking should be provided within the Building line. (Service charges to be paid for local Authority vehicle for required 50% parking). f. Building line (Refer the Proposed Road Width Table No 22 &amp; 23)</x:v>
      </x:c>
      <x:c r="G326" s="8" t="str">
        <x:v>candidate_unreviewed</x:v>
      </x:c>
      <x:c r="H326" s="21" t="b">
        <x:v>0</x:v>
      </x:c>
      <x:c r="I326" s="8" t="str">
        <x:v>Keyword extraction only. Read page image and full context before promoting. English search cannot exclude Sinhala/Tamil or image-only content.</x:v>
      </x:c>
    </x:row>
    <x:row r="327" ht="560" customHeight="1">
      <x:c r="A327" s="11" t="str">
        <x:v>C00326</x:v>
      </x:c>
      <x:c r="B327" s="11" t="str">
        <x:v>SRC_0059</x:v>
      </x:c>
      <x:c r="C327" s="11" t="str">
        <x:v>Mannar Development Plan - English.pdf</x:v>
      </x:c>
      <x:c r="D327" s="22" t="n">
        <x:v>177</x:v>
      </x:c>
      <x:c r="E327" s="11" t="str">
        <x:v>plot coverage</x:v>
      </x:c>
      <x:c r="F327" s="11" t="str">
        <x:v>ments agglomerated within this zone with the small plot size about below 2-4 perches land with 95% plot coverage due to the available access road for both side of the building which is front and back yard access. And there is a considerable demand for the commercial development. Therefore proposed to develop this zone as commercial development with the following guide. i. Permissible Uses c. Commercial activity d. Financial institution ii. Maximum Height of the building : 17 m iii. Guidelines a. Minimum Plot Size – 6 Perch b. Plot Coverage- 80% c. Green Space including utility provision - 20% with green land scape d. Boundary wall not allowed e. Required parking shall be accommodate in public parking in Zone 1 and required service cha || n ii. Maximum Height of the building : 17 m iii. Guidelines a. Minimum Plot Size – 6 Perch b. Plot Coverage- 80% c. Green Space including utility provision - 20% with green land scape d. Boundary wall not allowed e. Required parking shall be accommodate in public parking in Zone 1 and required service charges to be paid for local Authority. f. Roof mounted advertisements/ signs are prohibited except name of the building. g. Building line (Refer the Proposed Road Width Table No 22 &amp; 23 )  SUB ZONE: 7 At present, this zone consisting with the commercial and residential development with the poor condition and 65% of the plot coverage. This zone situated and compatible with the foreshore development area. Therefore, proposed to develop || consisting with the commercial and residential development with the poor condition and 65% of the plot coverage. This zone situated and compatible with the foreshore development area. Therefore, proposed to develop this zone including the commercial and hotels development to cater the foreshore tourism development demand as well and following guide to be considered. iv. Permissible Uses e. Commercial activity f. Hotels and restaurants</x:v>
      </x:c>
      <x:c r="G327" s="11" t="str">
        <x:v>candidate_unreviewed</x:v>
      </x:c>
      <x:c r="H327" s="24" t="b">
        <x:v>0</x:v>
      </x:c>
      <x:c r="I327" s="11" t="str">
        <x:v>Keyword extraction only. Read page image and full context before promoting. English search cannot exclude Sinhala/Tamil or image-only content.</x:v>
      </x:c>
    </x:row>
    <x:row r="328" ht="154" customHeight="1">
      <x:c r="A328" s="8" t="str">
        <x:v>C00327</x:v>
      </x:c>
      <x:c r="B328" s="8" t="str">
        <x:v>SRC_0059</x:v>
      </x:c>
      <x:c r="C328" s="8" t="str">
        <x:v>Mannar Development Plan - English.pdf</x:v>
      </x:c>
      <x:c r="D328" s="18" t="n">
        <x:v>178</x:v>
      </x:c>
      <x:c r="E328" s="8" t="str">
        <x:v>plot coverage</x:v>
      </x:c>
      <x:c r="F328" s="8" t="str">
        <x:v>age 173 v. Maximum Height of the building : 12m vi. Guidelines a. Plot size: 6 Perch b. Plot Coverage- 80% c. Green Space including utility provision - 20% d. Required parking should be provided within the Premises e. New residential development should not be allowed. f. Boundary wall – See through boundary walls are recommended and 1/3 of the boundary wall height shall be masonry wall. g. Building line (Refer the Proposed Road Width Table No 22 &amp; 23 )</x:v>
      </x:c>
      <x:c r="G328" s="8" t="str">
        <x:v>candidate_unreviewed</x:v>
      </x:c>
      <x:c r="H328" s="21" t="b">
        <x:v>0</x:v>
      </x:c>
      <x:c r="I328" s="8" t="str">
        <x:v>Keyword extraction only. Read page image and full context before promoting. English search cannot exclude Sinhala/Tamil or image-only content.</x:v>
      </x:c>
    </x:row>
    <x:row r="329" ht="182" customHeight="1">
      <x:c r="A329" s="11" t="str">
        <x:v>C00328</x:v>
      </x:c>
      <x:c r="B329" s="11" t="str">
        <x:v>SRC_0059</x:v>
      </x:c>
      <x:c r="C329" s="11" t="str">
        <x:v>Mannar Development Plan - English.pdf</x:v>
      </x:c>
      <x:c r="D329" s="22" t="n">
        <x:v>229</x:v>
      </x:c>
      <x:c r="E329" s="11" t="str">
        <x:v>plot coverage</x:v>
      </x:c>
      <x:c r="F329" s="11" t="str">
        <x:v>........................................................... 161 Table 20: Details of land extent, plot coverage and Floor Area Ratio ..................................................... 165 Table 21: Existing land use of the development guide plan area ............................................................. 166 Table 22: Proposed Road widht &amp; Building line ...................................................................................... 174 Table 23: Proposed Road Width &amp; Building of PS area .......................................................................... 197</x:v>
      </x:c>
      <x:c r="G329" s="11" t="str">
        <x:v>candidate_unreviewed</x:v>
      </x:c>
      <x:c r="H329" s="24" t="b">
        <x:v>0</x:v>
      </x:c>
      <x:c r="I329" s="11" t="str">
        <x:v>Keyword extraction only. Read page image and full context before promoting. English search cannot exclude Sinhala/Tamil or image-only content.</x:v>
      </x:c>
    </x:row>
    <x:row r="330" ht="140" customHeight="1">
      <x:c r="A330" s="8" t="str">
        <x:v>C00329</x:v>
      </x:c>
      <x:c r="B330" s="8" t="str">
        <x:v>SRC_0059</x:v>
      </x:c>
      <x:c r="C330" s="8" t="str">
        <x:v>Mannar Development Plan - English.pdf</x:v>
      </x:c>
      <x:c r="D330" s="18" t="n">
        <x:v>260</x:v>
      </x:c>
      <x:c r="E330" s="8" t="str">
        <x:v>plot coverage</x:v>
      </x:c>
      <x:c r="F330" s="8" t="str">
        <x:v>Mall/ Commercial Complex  Public Parking area  12 -15m • Minimum Plot size- 80p • Plot Coverage- 60% • Green Space including utility provision - 40% • Boundary wall not allowed – boundary shall be demarcated with soft landscape • Parking - Required parking shall be provided within the premises (refer the general Guidelines) • Vehicle circulation should be shown • Advertisement board except name of the building are not allowed</x:v>
      </x:c>
      <x:c r="G330" s="8" t="str">
        <x:v>candidate_unreviewed</x:v>
      </x:c>
      <x:c r="H330" s="21" t="b">
        <x:v>0</x:v>
      </x:c>
      <x:c r="I330" s="8" t="str">
        <x:v>Keyword extraction only. Read page image and full context before promoting. English search cannot exclude Sinhala/Tamil or image-only content.</x:v>
      </x:c>
    </x:row>
    <x:row r="331" ht="490" customHeight="1">
      <x:c r="A331" s="11" t="str">
        <x:v>C00330</x:v>
      </x:c>
      <x:c r="B331" s="11" t="str">
        <x:v>SRC_0059</x:v>
      </x:c>
      <x:c r="C331" s="11" t="str">
        <x:v>Mannar Development Plan - English.pdf</x:v>
      </x:c>
      <x:c r="D331" s="22" t="n">
        <x:v>261</x:v>
      </x:c>
      <x:c r="E331" s="11" t="str">
        <x:v>plot coverage</x:v>
      </x:c>
      <x:c r="F331" s="11" t="str">
        <x:v>019 - C0015 - Esplanade road Commercial Children Park 6-9m  Minimum Plot size- 6p  Plot Coverage- 80%  Boundary wall not allowed – boundary shall be demarcated with soft landscape for commercial  Masonry boundary wall not allowed for children park  Street line and building line (Refer the Annexure:1)  Parking – 50% of required parking should be provided within the premises  Advertisement board – Prior approval should be obtained from the UDA before display Sub Zone 03 C0020 - C0016 - Post office road C0022 - C0017 - Thalvupadhu road C0001 - A14 Road C0021 - Administrative Complex Financial Institution Professional Office 12 -15m  Minimum Plot size- 20p  Plot Coverage- 60%  Gre || tive Complex Financial Institution Professional Office 12 -15m  Minimum Plot size- 20p  Plot Coverage- 60%  Green Space including utility provision - 40%  Boundary wall – See through boundary walls are recommended and 1/3 of the boundary wall height shall be masonry wall.  Existing historical building should be preserved.  New residential development should not be allowed.  Street line and building line (Refer the Annexure:1)  Required parking should be provided within the premises  Green building certification should be obtained Sub Zone 04 C0002 - Fish market Road C0005 - Access road (Vegetable market) Commercial Complex Market Complex 12 -15m  Sub division not allowed  Plot Covera || egetable market) Commercial Complex Market Complex 12 -15m  Sub division not allowed  Plot Coverage- 80%  Green Space including utility provision - 20%  Boundary wall not allowed  Street line and building line (Refer the Annexure:1)</x:v>
      </x:c>
      <x:c r="G331" s="11" t="str">
        <x:v>candidate_unreviewed</x:v>
      </x:c>
      <x:c r="H331" s="24" t="b">
        <x:v>0</x:v>
      </x:c>
      <x:c r="I331" s="11" t="str">
        <x:v>Keyword extraction only. Read page image and full context before promoting. English search cannot exclude Sinhala/Tamil or image-only content.</x:v>
      </x:c>
    </x:row>
    <x:row r="332" ht="504" customHeight="1">
      <x:c r="A332" s="8" t="str">
        <x:v>C00331</x:v>
      </x:c>
      <x:c r="B332" s="8" t="str">
        <x:v>SRC_0059</x:v>
      </x:c>
      <x:c r="C332" s="8" t="str">
        <x:v>Mannar Development Plan - English.pdf</x:v>
      </x:c>
      <x:c r="D332" s="18" t="n">
        <x:v>262</x:v>
      </x:c>
      <x:c r="E332" s="8" t="str">
        <x:v>plot coverage</x:v>
      </x:c>
      <x:c r="F332" s="8" t="str">
        <x:v>C0003 - Walking path Commercial Financial Institution 12 m  Minimum Plot Size – 6P  Plot Coverage- 80%  Green Space including utility provision - 20% with green land scape  Boundary wall not allowed  Street line and building line (Refer the Annexure:1)  Required 50% parking should be provided within the Building line. (Service charges to be paid for local Authority vehicle for required 50% parking). Sub Zone 06 C0011 - Lane (Mosque back) C0009 - Walking path (Mosque front) C0007 - 2nd Bazar street C0003 - Walking path Commercial Financial Institution 17m  Minimum Plot Size – 6P  Plot Coverage- 80%  Green Space including utility provision - 20% with green land scape  Boundary w || 0003 - Walking path Commercial Financial Institution 17m  Minimum Plot Size – 6P  Plot Coverage- 80%  Green Space including utility provision - 20% with green land scape  Boundary wall not allowed  Street line and building line (Refer the Annexure:1)  Required parking shall be accommodate in public parking in Zone 1 and required service charges to be paid for local Authority. Roof mounted advertisements/ signs are prohibited except name of the building. Sub Zone 07 C0014 - Walking Path C0008 - Periyakdai Mosque lane C0005 - Access road (Vegetable market) Commercial Hotels and restaurants 12m  Plot size: 6P  Colors of the external wall should blend with the Zone 1 Character  Plo || 12m  Plot size: 6P  Colors of the external wall should blend with the Zone 1 Character  Plot Coverage- 80%  Green Space including utility provision - 20%  Street line and building line (Refer the Annexure:1)  Required parking should be provided within the Premises  New residential development should not be allowed.</x:v>
      </x:c>
      <x:c r="G332" s="8" t="str">
        <x:v>candidate_unreviewed</x:v>
      </x:c>
      <x:c r="H332" s="21" t="b">
        <x:v>0</x:v>
      </x:c>
      <x:c r="I332" s="8" t="str">
        <x:v>Keyword extraction only. Read page image and full context before promoting. English search cannot exclude Sinhala/Tamil or image-only content.</x:v>
      </x:c>
    </x:row>
    <x:row r="333" ht="238" customHeight="1">
      <x:c r="A333" s="11" t="str">
        <x:v>C00332</x:v>
      </x:c>
      <x:c r="B333" s="11" t="str">
        <x:v>SRC_0062</x:v>
      </x:c>
      <x:c r="C333" s="11" t="str">
        <x:v>Mihinthalaya Development Plan - English.pdf</x:v>
      </x:c>
      <x:c r="D333" s="22" t="n">
        <x:v>16</x:v>
      </x:c>
      <x:c r="E333" s="11" t="str">
        <x:v>setbacks</x:v>
      </x:c>
      <x:c r="F333" s="11" t="str">
        <x:v>or 03m &amp; 4.5 Wide Road............................................................153 7.6 Form E – Setbacks and Open Spaces ........................................................................................153 7.7 Common Guidelines for Planning Area ....................................................................................154 8 Chapter 08 ..................................................................................................................................... 157 Zoning Guidelines..................................................................................................................................... 157 8.1.1 Residential Zone ..............................................................................</x:v>
      </x:c>
      <x:c r="G333" s="11" t="str">
        <x:v>candidate_unreviewed</x:v>
      </x:c>
      <x:c r="H333" s="24" t="b">
        <x:v>0</x:v>
      </x:c>
      <x:c r="I333" s="11" t="str">
        <x:v>Keyword extraction only. Read page image and full context before promoting. English search cannot exclude Sinhala/Tamil or image-only content.</x:v>
      </x:c>
    </x:row>
    <x:row r="334" ht="84" customHeight="1">
      <x:c r="A334" s="8" t="str">
        <x:v>C00333</x:v>
      </x:c>
      <x:c r="B334" s="8" t="str">
        <x:v>SRC_0062</x:v>
      </x:c>
      <x:c r="C334" s="8" t="str">
        <x:v>Mihinthalaya Development Plan - English.pdf</x:v>
      </x:c>
      <x:c r="D334" s="18" t="n">
        <x:v>170</x:v>
      </x:c>
      <x:c r="E334" s="8" t="str">
        <x:v>setbacks</x:v>
      </x:c>
      <x:c r="F334" s="8" t="str">
        <x:v>Mihinthalaya Urban Development Plan 7.6 Form E – Setbacks and Open Spaces Table 16:Setbacks and Open Spaces 8UEDQ'HYHORSPHQW$XWKRULW\ 153 7.5 Form B – Number of Floors for 03m &amp; 4.5 Wide Road Table 15:Number of Floors for 03m &amp; 4.5m Wide Roads</x:v>
      </x:c>
      <x:c r="G334" s="8" t="str">
        <x:v>candidate_unreviewed</x:v>
      </x:c>
      <x:c r="H334" s="21" t="b">
        <x:v>0</x:v>
      </x:c>
      <x:c r="I334" s="8" t="str">
        <x:v>Keyword extraction only. Read page image and full context before promoting. English search cannot exclude Sinhala/Tamil or image-only content.</x:v>
      </x:c>
    </x:row>
    <x:row r="335" ht="98" customHeight="1">
      <x:c r="A335" s="11" t="str">
        <x:v>C00334</x:v>
      </x:c>
      <x:c r="B335" s="11" t="str">
        <x:v>SRC_0062</x:v>
      </x:c>
      <x:c r="C335" s="11" t="str">
        <x:v>Mihinthalaya Development Plan - English.pdf</x:v>
      </x:c>
      <x:c r="D335" s="22" t="n">
        <x:v>173</x:v>
      </x:c>
      <x:c r="E335" s="11" t="str">
        <x:v>plot coverage</x:v>
      </x:c>
      <x:c r="F335" s="11" t="str">
        <x:v>inal say in determining the street line on roads where not having street lines. 38.The zone factor, plot coverage, nature and extent of development work for government or Semi-government projects currently in operation or proposed can be determined by the Authority 156</x:v>
      </x:c>
      <x:c r="G335" s="11" t="str">
        <x:v>candidate_unreviewed</x:v>
      </x:c>
      <x:c r="H335" s="24" t="b">
        <x:v>0</x:v>
      </x:c>
      <x:c r="I335" s="11" t="str">
        <x:v>Keyword extraction only. Read page image and full context before promoting. English search cannot exclude Sinhala/Tamil or image-only content.</x:v>
      </x:c>
    </x:row>
    <x:row r="336" ht="196" customHeight="1">
      <x:c r="A336" s="8" t="str">
        <x:v>C00335</x:v>
      </x:c>
      <x:c r="B336" s="8" t="str">
        <x:v>SRC_0062</x:v>
      </x:c>
      <x:c r="C336" s="8" t="str">
        <x:v>Mihinthalaya Development Plan - English.pdf</x:v>
      </x:c>
      <x:c r="D336" s="18" t="n">
        <x:v>174</x:v>
      </x:c>
      <x:c r="E336" s="8" t="str">
        <x:v>plot coverage</x:v>
      </x:c>
      <x:c r="F336" s="8" t="str">
        <x:v>ts. Zone Boundaries Refer Annexture 01 for Coordinates Zone Factor 0'54 Allowed Maximum Height - Plot Coverage 65% Common Guide for Zone Mentioned in 2.6 Minimum Plot Size 15 Perches 8.1.1.2 Permissible Uses Table 18: Permissible uses in Residential Zone Allowed Uses Relevant Conditions Residential Houses for Living - Flats - Condominiums - Hostels - Housing Complex - Commercial Commercial floor area not exceed 100 sqm2 Supermarkets Lot Size not less than 1000 square meters Hardware’s Lot Size not less than 500 square meters Beauty Saloons - Filling Stations - 8UEDQ'HYHORSPHQW$XWKRULW\ 157</x:v>
      </x:c>
      <x:c r="G336" s="8" t="str">
        <x:v>candidate_unreviewed</x:v>
      </x:c>
      <x:c r="H336" s="21" t="b">
        <x:v>0</x:v>
      </x:c>
      <x:c r="I336" s="8" t="str">
        <x:v>Keyword extraction only. Read page image and full context before promoting. English search cannot exclude Sinhala/Tamil or image-only content.</x:v>
      </x:c>
    </x:row>
    <x:row r="337" ht="224" customHeight="1">
      <x:c r="A337" s="11" t="str">
        <x:v>C00336</x:v>
      </x:c>
      <x:c r="B337" s="11" t="str">
        <x:v>SRC_0062</x:v>
      </x:c>
      <x:c r="C337" s="11" t="str">
        <x:v>Mihinthalaya Development Plan - English.pdf</x:v>
      </x:c>
      <x:c r="D337" s="22" t="n">
        <x:v>177</x:v>
      </x:c>
      <x:c r="E337" s="11" t="str">
        <x:v>plot coverage</x:v>
      </x:c>
      <x:c r="F337" s="11" t="str">
        <x:v>es. Zone Boundaries Refer Annexture 01 for Coordinates Zone Factor 0'57 Allowed Maximum Height - Plot Coverage 65% Common Guide for Zone Mentioned in 2.6 In this zone, to divide properties(lands) and security of properties maximum wall height not exceeding 0.5 m and other part need to be design as transparent way as barbed wire or mesh fence. other type of walls allowed only if there is specific reason that is satisfied the Authority. Minimum Plot Size 10 Perches 8.1.2.2 Permissible Uses Table 20: Permissible uses in Commercial Zone Allowed Uses Relevant Conditions Residential Houses for Living - Flats - Condominiums - Hostels - Housing Complex - Commercial Commercial - Supermarkets - Hardware’s - 8UEDQ'HYHORSPHQW$XWKRULW\ 160</x:v>
      </x:c>
      <x:c r="G337" s="11" t="str">
        <x:v>candidate_unreviewed</x:v>
      </x:c>
      <x:c r="H337" s="24" t="b">
        <x:v>0</x:v>
      </x:c>
      <x:c r="I337" s="11" t="str">
        <x:v>Keyword extraction only. Read page image and full context before promoting. English search cannot exclude Sinhala/Tamil or image-only content.</x:v>
      </x:c>
    </x:row>
    <x:row r="338" ht="84" customHeight="1">
      <x:c r="A338" s="8" t="str">
        <x:v>C00337</x:v>
      </x:c>
      <x:c r="B338" s="8" t="str">
        <x:v>SRC_0062</x:v>
      </x:c>
      <x:c r="C338" s="8" t="str">
        <x:v>Mihinthalaya Development Plan - English.pdf</x:v>
      </x:c>
      <x:c r="D338" s="18" t="n">
        <x:v>180</x:v>
      </x:c>
      <x:c r="E338" s="8" t="str">
        <x:v>plot coverage</x:v>
      </x:c>
      <x:c r="F338" s="8" t="str">
        <x:v>idents. Zone Boundaries Refer Annexture 01 for Coordinates Zone Factor 0'51 Allowed Maximum Height Plot Coverage 65% Common Guide for Zone Mentioned in 2.6 Minimum Plot Size 10 Perches 8UEDQ'HYHORSPHQW$XWKRULW\ 163</x:v>
      </x:c>
      <x:c r="G338" s="8" t="str">
        <x:v>candidate_unreviewed</x:v>
      </x:c>
      <x:c r="H338" s="21" t="b">
        <x:v>0</x:v>
      </x:c>
      <x:c r="I338" s="8" t="str">
        <x:v>Keyword extraction only. Read page image and full context before promoting. English search cannot exclude Sinhala/Tamil or image-only content.</x:v>
      </x:c>
    </x:row>
    <x:row r="339" ht="238" customHeight="1">
      <x:c r="A339" s="11" t="str">
        <x:v>C00338</x:v>
      </x:c>
      <x:c r="B339" s="11" t="str">
        <x:v>SRC_0062</x:v>
      </x:c>
      <x:c r="C339" s="11" t="str">
        <x:v>Mihinthalaya Development Plan - English.pdf</x:v>
      </x:c>
      <x:c r="D339" s="22" t="n">
        <x:v>183</x:v>
      </x:c>
      <x:c r="E339" s="11" t="str">
        <x:v>plot coverage</x:v>
      </x:c>
      <x:c r="F339" s="11" t="str">
        <x:v>ure 01 for Coordinates Zone Factor Limited Developments Allowed Maximum Height Limited Developments Plot Coverage 65 % Common Guide for Zone Mentioned in 2.6 Minimum Plot Size Limited Developments 8.1.4.2 Permissible Uses Table 24: Permissible uses in Environment Zone Allowed Uses Relevant Conditions Common Guidence For Zone Development activities on this zone should be carried out after obtaining relevant Recommendations from the Departments of Wildlife and forest Conservation, Departments of Irrigation and Archeology. Residential Houses for Living No permission is granted to construct houses in this Zone, but authority will consider to give permission after the relevant recommendations from the Departments of Wildlife and forest Conserv</x:v>
      </x:c>
      <x:c r="G339" s="11" t="str">
        <x:v>candidate_unreviewed</x:v>
      </x:c>
      <x:c r="H339" s="24" t="b">
        <x:v>0</x:v>
      </x:c>
      <x:c r="I339" s="11" t="str">
        <x:v>Keyword extraction only. Read page image and full context before promoting. English search cannot exclude Sinhala/Tamil or image-only content.</x:v>
      </x:c>
    </x:row>
    <x:row r="340" ht="350" customHeight="1">
      <x:c r="A340" s="8" t="str">
        <x:v>C00339</x:v>
      </x:c>
      <x:c r="B340" s="8" t="str">
        <x:v>SRC_0062</x:v>
      </x:c>
      <x:c r="C340" s="8" t="str">
        <x:v>Mihinthalaya Development Plan - English.pdf</x:v>
      </x:c>
      <x:c r="D340" s="18" t="n">
        <x:v>184</x:v>
      </x:c>
      <x:c r="E340" s="8" t="str">
        <x:v>plot coverage</x:v>
      </x:c>
      <x:c r="F340" s="8" t="str">
        <x:v>ermanent materials and structures Museums The Land extent should not exceed 1000 square meters and plot coverage should not exceed 50% Recreational Parks - Aquariums - Open Places - Camping Sites - Special projects Government Special Development Projects - 8.1.5Sacred Area Zone 8.1.5.1 Zoning Guidelines Table 25: Zoning Guidelines in Sacred Area Zone Zone Name Sacred Area Zone Description Most unique zone in the area with great archeology values, this zone is expecting to conserve and protect the Buddhist archeology values and Natural environment setting with Promoting the area with restricted developments. Zone Boundaries Refer Annexture 01 for Coordinates Zone Factor Limited Developments Allowed Maximum Height Limited Developments Plot C || ure 01 for Coordinates Zone Factor Limited Developments Allowed Maximum Height Limited Developments Plot Coverage Limited developments Common Guidance for Zone Mentioned in 1.1and All the development in this zone subjected to the approval of Archeology Department, National Physical planning Department, Urban Development Authority 8UEDQ'HYHORSPHQW$XWKRULW\ 167 Minimum Plot Size Limited Developments</x:v>
      </x:c>
      <x:c r="G340" s="8" t="str">
        <x:v>candidate_unreviewed</x:v>
      </x:c>
      <x:c r="H340" s="21" t="b">
        <x:v>0</x:v>
      </x:c>
      <x:c r="I340" s="8" t="str">
        <x:v>Keyword extraction only. Read page image and full context before promoting. English search cannot exclude Sinhala/Tamil or image-only content.</x:v>
      </x:c>
    </x:row>
    <x:row r="341" ht="238" customHeight="1">
      <x:c r="A341" s="11" t="str">
        <x:v>C00340</x:v>
      </x:c>
      <x:c r="B341" s="11" t="str">
        <x:v>SRC_0062</x:v>
      </x:c>
      <x:c r="C341" s="11" t="str">
        <x:v>Mihinthalaya Development Plan - English.pdf</x:v>
      </x:c>
      <x:c r="D341" s="22" t="n">
        <x:v>194</x:v>
      </x:c>
      <x:c r="E341" s="11" t="str">
        <x:v>setbacks</x:v>
      </x:c>
      <x:c r="F341" s="11" t="str">
        <x:v>5m Wide Roads ....................................................................... 152 Table 16:Setbacks and Open Spaces ......................................................................................................... 153 Table 17: Zoning Guidelines in Residential Zone .................................................................................... 157 Table 18: Permissible uses in Residential Zone ........................................................................................ 157 Table 19:Zoning Guidelines in Commercial Zone ................................................................................... 160 Table 20: Permissible uses in Commercial Zone ..............................................................</x:v>
      </x:c>
      <x:c r="G341" s="11" t="str">
        <x:v>candidate_unreviewed</x:v>
      </x:c>
      <x:c r="H341" s="24" t="b">
        <x:v>0</x:v>
      </x:c>
      <x:c r="I341" s="11" t="str">
        <x:v>Keyword extraction only. Read page image and full context before promoting. English search cannot exclude Sinhala/Tamil or image-only content.</x:v>
      </x:c>
    </x:row>
    <x:row r="342" ht="280" customHeight="1">
      <x:c r="A342" s="8" t="str">
        <x:v>C00341</x:v>
      </x:c>
      <x:c r="B342" s="8" t="str">
        <x:v>SRC_0063</x:v>
      </x:c>
      <x:c r="C342" s="8" t="str">
        <x:v>Monaragala_E_20240913.pdf</x:v>
      </x:c>
      <x:c r="D342" s="18" t="n">
        <x:v>186</x:v>
      </x:c>
      <x:c r="E342" s="8" t="str">
        <x:v>minimum width, plot coverage</x:v>
      </x:c>
      <x:c r="F342" s="8" t="str">
        <x:v>sidered for the allowable Floor Area Ratio for the proposed development. But while calculating the plot coverage percentage, the remaining area of the land should be considered except the part belonging to the street line/proposed road width. 6. In cases where the development premises face more than one road having right of way with a minimum width of 6 m or more than that and connected to main roads independently, the sum of the widths of all those roads may be considered as the access road width to calculate the permissible development on a case-by-case basis || . 6. In cases where the development premises face more than one road having right of way with a minimum width of 6 m or more than that and connected to main roads independently, the sum of the widths of all those roads may be considered as the access road width to calculate the permissible development on a case-by-case basis</x:v>
      </x:c>
      <x:c r="G342" s="8" t="str">
        <x:v>candidate_unreviewed</x:v>
      </x:c>
      <x:c r="H342" s="21" t="b">
        <x:v>0</x:v>
      </x:c>
      <x:c r="I342" s="8" t="str">
        <x:v>Keyword extraction only. Read page image and full context before promoting. English search cannot exclude Sinhala/Tamil or image-only content.</x:v>
      </x:c>
    </x:row>
    <x:row r="343" ht="532" customHeight="1">
      <x:c r="A343" s="11" t="str">
        <x:v>C00342</x:v>
      </x:c>
      <x:c r="B343" s="11" t="str">
        <x:v>SRC_0063</x:v>
      </x:c>
      <x:c r="C343" s="11" t="str">
        <x:v>Monaragala_E_20240913.pdf</x:v>
      </x:c>
      <x:c r="D343" s="22" t="n">
        <x:v>190</x:v>
      </x:c>
      <x:c r="E343" s="11" t="str">
        <x:v>minimum width, staircase</x:v>
      </x:c>
      <x:c r="F343" s="11" t="str">
        <x:v>se; however, for tourist uses, parking spaces should be located within a 250-meter radius from the staircase's starting point. g. In such instances, developers must submit a special proposal for fire protection and secure certification from the fire department of local authority or an authorized agency. h. Specifications of stairs 1. The Width of a Staircase 1.8 meters 2. Maximum height of a stair 6 inches 3. Minimum width of a stair 12 inches 4. Maximum step length 300 meters 5. The Landing Once every 20 steps (Minimum 1.8 m* 1m) 6. Building line 1 meter from the boundary Source: Urban Development Authority, 2023 33. The following specifications are applicable in the development of existing and new lanes in the city. || tment of local authority or an authorized agency. h. Specifications of stairs 1. The Width of a Staircase 1.8 meters 2. Maximum height of a stair 6 inches 3. Minimum width of a stair 12 inches 4. Maximum step length 300 meters 5. The Landing Once every 20 steps (Minimum 1.8 m* 1m) 6. Building line 1 meter from the boundary Source: Urban Development Authority, 2023 33. The following specifications are applicable in the development of existing and new lanes in the city. a. Minimum width 1.8 meter b. There should be lighting. c. Landscaping should be done. || s of stairs 1. The Width of a Staircase 1.8 meters 2. Maximum height of a stair 6 inches 3. Minimum width of a stair 12 inches 4. Maximum step length 300 meters 5. The Landing Once every 20 steps (Minimum 1.8 m* 1m) 6. Building line 1 meter from the boundary Source: Urban Development Authority, 2023 33. The following specifications are applicable in the development of existing and new lanes in the city. a. Minimum width 1.8 meter b. There should be lighting. c. Landscaping should be done.</x:v>
      </x:c>
      <x:c r="G343" s="11" t="str">
        <x:v>candidate_unreviewed</x:v>
      </x:c>
      <x:c r="H343" s="24" t="b">
        <x:v>0</x:v>
      </x:c>
      <x:c r="I343" s="11" t="str">
        <x:v>Keyword extraction only. Read page image and full context before promoting. English search cannot exclude Sinhala/Tamil or image-only content.</x:v>
      </x:c>
    </x:row>
    <x:row r="344" ht="252" customHeight="1">
      <x:c r="A344" s="8" t="str">
        <x:v>C00343</x:v>
      </x:c>
      <x:c r="B344" s="8" t="str">
        <x:v>SRC_0063</x:v>
      </x:c>
      <x:c r="C344" s="8" t="str">
        <x:v>Monaragala_E_20240913.pdf</x:v>
      </x:c>
      <x:c r="D344" s="18" t="n">
        <x:v>191</x:v>
      </x:c>
      <x:c r="E344" s="8" t="str">
        <x:v>minimum width, plot coverage</x:v>
      </x:c>
      <x:c r="F344" s="8" t="str">
        <x:v>t adjoining property. Form B - Number of Floors for 3.0m &amp; 4.5m wide roads and for stairs with a minimum width of 1.8 meters Minimum Road Width Minimum Site Frontage Plot Coverage* Maximum Number of Floors Zone Factor 0.50 – 0.74 Zone Factor 0.75 – 1.24 Zone Factor 1.25 – 3.49 3.0m 6m 65% 1 (G) 2 (G+1) 3 (G+2) 4.5m 6m 65% 1 (G) 2 (G+1) 3 (G+2) 1.8 m (Stairs **) 6m 65% 1 (G) 2 (G+1) 3 (G+2) Number of floors are indicated including parking areas Maximum height of the building should not exceed 10m * Where no plot coverage specified under the zoning regulations ** Only for Residential, Commercial (Retail) and Tourist uses || dicated including parking areas Maximum height of the building should not exceed 10m * Where no plot coverage specified under the zoning regulations ** Only for Residential, Commercial (Retail) and Tourist uses</x:v>
      </x:c>
      <x:c r="G344" s="8" t="str">
        <x:v>candidate_unreviewed</x:v>
      </x:c>
      <x:c r="H344" s="21" t="b">
        <x:v>0</x:v>
      </x:c>
      <x:c r="I344" s="8" t="str">
        <x:v>Keyword extraction only. Read page image and full context before promoting. English search cannot exclude Sinhala/Tamil or image-only content.</x:v>
      </x:c>
    </x:row>
    <x:row r="345" ht="644" customHeight="1">
      <x:c r="A345" s="11" t="str">
        <x:v>C00344</x:v>
      </x:c>
      <x:c r="B345" s="11" t="str">
        <x:v>SRC_0063</x:v>
      </x:c>
      <x:c r="C345" s="11" t="str">
        <x:v>Monaragala_E_20240913.pdf</x:v>
      </x:c>
      <x:c r="D345" s="22" t="n">
        <x:v>193</x:v>
      </x:c>
      <x:c r="E345" s="11" t="str">
        <x:v>bed room, light and ventilation, minimum floor area</x:v>
      </x:c>
      <x:c r="F345" s="11" t="str">
        <x:v>rooms, and tution classes within Development zones are as follows: a. Hostels/Boarding Rooms: Bed rooms A minimum floor area of 0.9 square meters per three occupants, with each side measuring at least 2.5 meters. Common Room Not less than 10 square meters, with guest accommodation provided for every nine occupants. b. Tuition classes Lecture halls When allowing for natural light and ventilation through window openings, the AC window's light and ventilation can effectively extend only up to 7 meters from the outer edge of the serving hall's window General regulations relating to landscape management 48. The main roads leading into the city should undergo landscaping, with shade-providing trees native to the region, such || ution classes within Development zones are as follows: a. Hostels/Boarding Rooms: Bed rooms A minimum floor area of 0.9 square meters per three occupants, with each side measuring at least 2.5 meters. Common Room Not less than 10 square meters, with guest accommodation provided for every nine occupants. b. Tuition classes Lecture halls When allowing for natural light and ventilation through window openings, the AC window's light and ventilation can effectively extend only up to 7 meters from the outer edge of the serving hall's window General regulations relating to landscape management 48. The main roads leading into the city should undergo landscaping, with shade-providing trees native to the region, such as Kohomba, Wild Ehala, || rovided for every nine occupants. b. Tuition classes Lecture halls When allowing for natural light and ventilation through window openings, the AC window's light and ventilation can effectively extend only up to 7 meters from the outer edge of the serving hall's window General regulations relating to landscape management 48. The main roads leading into the city should undergo landscaping, with shade-providing trees native to the region, such as Kohomba, Wild Ehala, Mara, Myla, etc., being preferred. It is recommended to consult a landscape artist to imbue the road with its unique identity through strategic tree planting. 49. When planting vegetation along sidewalks and roadsides, it is advisable to employ undergrou</x:v>
      </x:c>
      <x:c r="G345" s="11" t="str">
        <x:v>candidate_unreviewed</x:v>
      </x:c>
      <x:c r="H345" s="24" t="b">
        <x:v>0</x:v>
      </x:c>
      <x:c r="I345" s="11" t="str">
        <x:v>Keyword extraction only. Read page image and full context before promoting. English search cannot exclude Sinhala/Tamil or image-only content.</x:v>
      </x:c>
    </x:row>
    <x:row r="346" ht="210" customHeight="1">
      <x:c r="A346" s="8" t="str">
        <x:v>C00345</x:v>
      </x:c>
      <x:c r="B346" s="8" t="str">
        <x:v>SRC_0063</x:v>
      </x:c>
      <x:c r="C346" s="8" t="str">
        <x:v>Monaragala_E_20240913.pdf</x:v>
      </x:c>
      <x:c r="D346" s="18" t="n">
        <x:v>195</x:v>
      </x:c>
      <x:c r="E346" s="8" t="str">
        <x:v>plot coverage, setbacks</x:v>
      </x:c>
      <x:c r="F346" s="8" t="str">
        <x:v>sible Maximum Plot Coverage As per the form “B” in Schedule II and form “E” in Schedule III 8 Setbacks and maximum height As per the form “E” in Schedule VI 9 Minimum land extent for Subdivision Residential and Commercial- 150 sqm 10 Permissible uses As per the form “F” in Schedule IV &amp; “G” in Schedule V 11 General regulations for the zone i. In addition to the approved plot coverage for residential use, a minimum of 35% of the proposed land must be maintained as green cover. || e IV &amp; “G” in Schedule V 11 General regulations for the zone i. In addition to the approved plot coverage for residential use, a minimum of 35% of the proposed land must be maintained as green cover.</x:v>
      </x:c>
      <x:c r="G346" s="8" t="str">
        <x:v>candidate_unreviewed</x:v>
      </x:c>
      <x:c r="H346" s="21" t="b">
        <x:v>0</x:v>
      </x:c>
      <x:c r="I346" s="8" t="str">
        <x:v>Keyword extraction only. Read page image and full context before promoting. English search cannot exclude Sinhala/Tamil or image-only content.</x:v>
      </x:c>
    </x:row>
    <x:row r="347" ht="112" customHeight="1">
      <x:c r="A347" s="11" t="str">
        <x:v>C00346</x:v>
      </x:c>
      <x:c r="B347" s="11" t="str">
        <x:v>SRC_0063</x:v>
      </x:c>
      <x:c r="C347" s="11" t="str">
        <x:v>Monaragala_E_20240913.pdf</x:v>
      </x:c>
      <x:c r="D347" s="22" t="n">
        <x:v>196</x:v>
      </x:c>
      <x:c r="E347" s="11" t="str">
        <x:v>setbacks</x:v>
      </x:c>
      <x:c r="F347" s="11" t="str">
        <x:v>sible Maximum Plot Coverage As per the form “B” in Schedule II and form “E” in Schedule III 8 Setbacks and maximum height As per the form “E” in Schedule VI 9 Minimum land extent for Subdivision Residential - 250 sqm Commercial - 150 sqm 10 Permissible uses As per the form “F” in Schedule IV &amp; “G” in Schedule V</x:v>
      </x:c>
      <x:c r="G347" s="11" t="str">
        <x:v>candidate_unreviewed</x:v>
      </x:c>
      <x:c r="H347" s="24" t="b">
        <x:v>0</x:v>
      </x:c>
      <x:c r="I347" s="11" t="str">
        <x:v>Keyword extraction only. Read page image and full context before promoting. English search cannot exclude Sinhala/Tamil or image-only content.</x:v>
      </x:c>
    </x:row>
    <x:row r="348" ht="294" customHeight="1">
      <x:c r="A348" s="8" t="str">
        <x:v>C00347</x:v>
      </x:c>
      <x:c r="B348" s="8" t="str">
        <x:v>SRC_0063</x:v>
      </x:c>
      <x:c r="C348" s="8" t="str">
        <x:v>Monaragala_E_20240913.pdf</x:v>
      </x:c>
      <x:c r="D348" s="18" t="n">
        <x:v>197</x:v>
      </x:c>
      <x:c r="E348" s="8" t="str">
        <x:v>plot coverage, setbacks</x:v>
      </x:c>
      <x:c r="F348" s="8" t="str">
        <x:v>033 196 | P a g e 11 General regulations for the zone iv. In addition to the approved plot coverage for residential use, a minimum of 35% of the proposed land must be maintained as green cover. v. The area between buildings and parking lots on both sides of the main road should be allocated for landscaping purposes. (Paving footpaths, installation of street lights, and other landscaping features.) vi. Necessary guidance and strategic plans are being prepared to promote the establishment of new technical infrastructure facilities. Planning and building regulations may be relaxed at the discretion of the Authority to encourage these commercial uses. Source: Urban Development Authority, 2023 Table No. 8. 3: Medium Dens || sible Maximum Plot Coverage As per the form “B” in Schedule II and form “E” in Schedule III 8 Setbacks and maximum height As per the form “E” in Schedule VI 9 Minimum land extent for Subdivision Residential - 250 sqm Commercial - 150 sqm</x:v>
      </x:c>
      <x:c r="G348" s="8" t="str">
        <x:v>candidate_unreviewed</x:v>
      </x:c>
      <x:c r="H348" s="21" t="b">
        <x:v>0</x:v>
      </x:c>
      <x:c r="I348" s="8" t="str">
        <x:v>Keyword extraction only. Read page image and full context before promoting. English search cannot exclude Sinhala/Tamil or image-only content.</x:v>
      </x:c>
    </x:row>
    <x:row r="349" ht="266" customHeight="1">
      <x:c r="A349" s="11" t="str">
        <x:v>C00348</x:v>
      </x:c>
      <x:c r="B349" s="11" t="str">
        <x:v>SRC_0063</x:v>
      </x:c>
      <x:c r="C349" s="11" t="str">
        <x:v>Monaragala_E_20240913.pdf</x:v>
      </x:c>
      <x:c r="D349" s="22" t="n">
        <x:v>198</x:v>
      </x:c>
      <x:c r="E349" s="11" t="str">
        <x:v>plot coverage, setbacks</x:v>
      </x:c>
      <x:c r="F349" s="11" t="str">
        <x:v>dule IV &amp; “G” in Schedule V 11 General regulation for the zone i. In addition to the approved plot coverage for residential use, a minimum of 35% of the proposed land must be maintained as green cover. ii. The area between buildings and parking lots on both sides of the main road should be allocated for landscaping purposes. (Paving footpaths, installation of street lights, and other landscaping features.) iii. Necessary guidance and strategic plans are being prepared to promote the establishment of new technical infrastructure facilities. Planning and building regulations may be relaxed at the discretion of the Authority to encourage these commercial uses. Source: Urban Development Authority , 2023 Table No. 8. 4 : Dev || ible Maximum Plot Coverage As per the form “B” in Schedule II and form “E” in Schedule III 8 Setbacks and maximum height As per the form “E” in Schedule VI</x:v>
      </x:c>
      <x:c r="G349" s="11" t="str">
        <x:v>candidate_unreviewed</x:v>
      </x:c>
      <x:c r="H349" s="24" t="b">
        <x:v>0</x:v>
      </x:c>
      <x:c r="I349" s="11" t="str">
        <x:v>Keyword extraction only. Read page image and full context before promoting. English search cannot exclude Sinhala/Tamil or image-only content.</x:v>
      </x:c>
    </x:row>
    <x:row r="350" ht="224" customHeight="1">
      <x:c r="A350" s="8" t="str">
        <x:v>C00349</x:v>
      </x:c>
      <x:c r="B350" s="8" t="str">
        <x:v>SRC_0063</x:v>
      </x:c>
      <x:c r="C350" s="8" t="str">
        <x:v>Monaragala_E_20240913.pdf</x:v>
      </x:c>
      <x:c r="D350" s="18" t="n">
        <x:v>199</x:v>
      </x:c>
      <x:c r="E350" s="8" t="str">
        <x:v>minimum width</x:v>
      </x:c>
      <x:c r="F350" s="8" t="str">
        <x:v>edule V 11 General regulations for the zone a. Access roads for industrial use must have a minimum width of 30 feet (9 meters), and in case existing roads width is less than 7m, permission may be granted based on land disposal to achieve the proposed road width. b. A buffer zone of 03 meters should be maintained around all industries and warehouses to be built in this zone and landscape plan should be submitted to this authority. c. Development activities must be carried out in a manner that preserves existing vegetation and green cover within this region. d. If an industrial facility is located adjacent to a water source or wetland (within 100-200 meters), a wastewater management plan must be submitted for approval, and was</x:v>
      </x:c>
      <x:c r="G350" s="8" t="str">
        <x:v>candidate_unreviewed</x:v>
      </x:c>
      <x:c r="H350" s="21" t="b">
        <x:v>0</x:v>
      </x:c>
      <x:c r="I350" s="8" t="str">
        <x:v>Keyword extraction only. Read page image and full context before promoting. English search cannot exclude Sinhala/Tamil or image-only content.</x:v>
      </x:c>
    </x:row>
    <x:row r="351" ht="392" customHeight="1">
      <x:c r="A351" s="11" t="str">
        <x:v>C00350</x:v>
      </x:c>
      <x:c r="B351" s="11" t="str">
        <x:v>SRC_0063</x:v>
      </x:c>
      <x:c r="C351" s="11" t="str">
        <x:v>Monaragala_E_20240913.pdf</x:v>
      </x:c>
      <x:c r="D351" s="22" t="n">
        <x:v>200</x:v>
      </x:c>
      <x:c r="E351" s="11" t="str">
        <x:v>plot coverage, setbacks</x:v>
      </x:c>
      <x:c r="F351" s="11" t="str">
        <x:v>sible Maximum Plot Coverage As per the form “B” in Schedule II and form “E” in Schedule III 8 Setbacks and maximum height As per the form “E” in Schedule VI 9 Minimum land extent for Subdivision Residential - 250 sqm Commercial - 150 sqm 10 Permissible uses As per the form “F” in Schedule IV &amp; “G” in Schedule V 11 General regulations for the zone a. In addition to the approved plot coverage for residential use, a minimum of 35% of the proposed land must be maintained as green cover. b. The area between buildings and parking lots on both sides of the main road should be allocated for landscaping purposes. (Paving footpaths, installation of street lights, and other landscaping features.) c. Necessary guidance || ule IV &amp; “G” in Schedule V 11 General regulations for the zone a. In addition to the approved plot coverage for residential use, a minimum of 35% of the proposed land must be maintained as green cover. b. The area between buildings and parking lots on both sides of the main road should be allocated for landscaping purposes. (Paving footpaths, installation of street lights, and other landscaping features.) c. Necessary guidance and strategic plans are being prepared to promote the establishment of new technical infrastructure facilities. Planning and building regulations may be relaxed at the</x:v>
      </x:c>
      <x:c r="G351" s="11" t="str">
        <x:v>candidate_unreviewed</x:v>
      </x:c>
      <x:c r="H351" s="24" t="b">
        <x:v>0</x:v>
      </x:c>
      <x:c r="I351" s="11" t="str">
        <x:v>Keyword extraction only. Read page image and full context before promoting. English search cannot exclude Sinhala/Tamil or image-only content.</x:v>
      </x:c>
    </x:row>
    <x:row r="352" ht="252" customHeight="1">
      <x:c r="A352" s="8" t="str">
        <x:v>C00351</x:v>
      </x:c>
      <x:c r="B352" s="8" t="str">
        <x:v>SRC_0063</x:v>
      </x:c>
      <x:c r="C352" s="8" t="str">
        <x:v>Monaragala_E_20240913.pdf</x:v>
      </x:c>
      <x:c r="D352" s="18" t="n">
        <x:v>201</x:v>
      </x:c>
      <x:c r="E352" s="8" t="str">
        <x:v>plot coverage, setbacks</x:v>
      </x:c>
      <x:c r="F352" s="8" t="str">
        <x:v>6 Permissible Maximum FAR/ Number of floors G+1 7 Permissible Maximum Plot Coverage 50% plot coverage should be maintained for commercial, residential and other uses and the rest of the area should be landscaped and maintained as an eco-friendly area. 8 Setbacks and maximum height As per form “ E ” mentioned in Schedule VI 9 Minimum land extent for Subdivision Residential , commercial and other - 250 square meters 10 Permissible uses As per the form “F” in Schedule IV &amp; “G” in Schedule V || er uses and the rest of the area should be landscaped and maintained as an eco-friendly area. 8 Setbacks and maximum height As per form “ E ” mentioned in Schedule VI 9 Minimum land extent for Subdivision Residential , commercial and other - 250 square meters 10 Permissible uses As per the form “F” in Schedule IV &amp; “G” in Schedule V</x:v>
      </x:c>
      <x:c r="G352" s="8" t="str">
        <x:v>candidate_unreviewed</x:v>
      </x:c>
      <x:c r="H352" s="21" t="b">
        <x:v>0</x:v>
      </x:c>
      <x:c r="I352" s="8" t="str">
        <x:v>Keyword extraction only. Read page image and full context before promoting. English search cannot exclude Sinhala/Tamil or image-only content.</x:v>
      </x:c>
    </x:row>
    <x:row r="353" ht="70" customHeight="1">
      <x:c r="A353" s="11" t="str">
        <x:v>C00352</x:v>
      </x:c>
      <x:c r="B353" s="11" t="str">
        <x:v>SRC_0063</x:v>
      </x:c>
      <x:c r="C353" s="11" t="str">
        <x:v>Monaragala_E_20240913.pdf</x:v>
      </x:c>
      <x:c r="D353" s="22" t="n">
        <x:v>202</x:v>
      </x:c>
      <x:c r="E353" s="11" t="str">
        <x:v>setbacks</x:v>
      </x:c>
      <x:c r="F353" s="11" t="str">
        <x:v>6 Permissible Maximum FAR/ Number of floors - 7 Permissible Maximum Plot Coverage - 8 Setbacks and maximum height - 9 Minimum land extent for Subdivision - 10 Permissible uses -</x:v>
      </x:c>
      <x:c r="G353" s="11" t="str">
        <x:v>candidate_unreviewed</x:v>
      </x:c>
      <x:c r="H353" s="24" t="b">
        <x:v>0</x:v>
      </x:c>
      <x:c r="I353" s="11" t="str">
        <x:v>Keyword extraction only. Read page image and full context before promoting. English search cannot exclude Sinhala/Tamil or image-only content.</x:v>
      </x:c>
    </x:row>
    <x:row r="354" ht="70" customHeight="1">
      <x:c r="A354" s="8" t="str">
        <x:v>C00353</x:v>
      </x:c>
      <x:c r="B354" s="8" t="str">
        <x:v>SRC_0063</x:v>
      </x:c>
      <x:c r="C354" s="8" t="str">
        <x:v>Monaragala_E_20240913.pdf</x:v>
      </x:c>
      <x:c r="D354" s="18" t="n">
        <x:v>203</x:v>
      </x:c>
      <x:c r="E354" s="8" t="str">
        <x:v>setbacks</x:v>
      </x:c>
      <x:c r="F354" s="8" t="str">
        <x:v>6 Permissible Maximum FAR/ Number of floors - 7 Permissible Maximum Plot Coverage - 8 Setbacks and maximum height - 9 Minimum land extent for Subdivision - 10 Permissible uses -</x:v>
      </x:c>
      <x:c r="G354" s="8" t="str">
        <x:v>candidate_unreviewed</x:v>
      </x:c>
      <x:c r="H354" s="21" t="b">
        <x:v>0</x:v>
      </x:c>
      <x:c r="I354" s="8" t="str">
        <x:v>Keyword extraction only. Read page image and full context before promoting. English search cannot exclude Sinhala/Tamil or image-only content.</x:v>
      </x:c>
    </x:row>
    <x:row r="355" ht="140" customHeight="1">
      <x:c r="A355" s="11" t="str">
        <x:v>C00354</x:v>
      </x:c>
      <x:c r="B355" s="11" t="str">
        <x:v>SRC_0063</x:v>
      </x:c>
      <x:c r="C355" s="11" t="str">
        <x:v>Monaragala_E_20240913.pdf</x:v>
      </x:c>
      <x:c r="D355" s="22" t="n">
        <x:v>204</x:v>
      </x:c>
      <x:c r="E355" s="11" t="str">
        <x:v>setbacks</x:v>
      </x:c>
      <x:c r="F355" s="11" t="str">
        <x:v>6 Permissible Maximum FAR/ Number of floors - 7 Permissible Maximum Plot Coverage - 8 Setbacks and maximum height - 9 Minimum land extent for Subdivision - 10 Permissible uses - 11 General regulations for the zone 1. Subdivision and demarcation of wetland boundaries should be done in an environmentally friendly manner such as tree strips (plant hedges), boundary stones etc. Construction of boundary walls is not permitted.</x:v>
      </x:c>
      <x:c r="G355" s="11" t="str">
        <x:v>candidate_unreviewed</x:v>
      </x:c>
      <x:c r="H355" s="24" t="b">
        <x:v>0</x:v>
      </x:c>
      <x:c r="I355" s="11" t="str">
        <x:v>Keyword extraction only. Read page image and full context before promoting. English search cannot exclude Sinhala/Tamil or image-only content.</x:v>
      </x:c>
    </x:row>
    <x:row r="356" ht="602" customHeight="1">
      <x:c r="A356" s="8" t="str">
        <x:v>C00355</x:v>
      </x:c>
      <x:c r="B356" s="8" t="str">
        <x:v>SRC_0063</x:v>
      </x:c>
      <x:c r="C356" s="8" t="str">
        <x:v>Monaragala_E_20240913.pdf</x:v>
      </x:c>
      <x:c r="D356" s="18" t="n">
        <x:v>208</x:v>
      </x:c>
      <x:c r="E356" s="8" t="str">
        <x:v>plot coverage, setbacks</x:v>
      </x:c>
      <x:c r="F356" s="8" t="str">
        <x:v>d in the gazette notification No. 54/2235 dated 08.07.2021by Urban Development Authority Form E - Setbacks &amp; Open Spaces Building Height (m) Minimum Site Frontage (m) Plot Coverage * Rear Space (m) Side Space (m) Light Well for NLV Non Residenti al Residenti al When no NLV is taking this end When NLV is taking this end When no NLV is taking this end When NLV is taking this end Minimum width Minimum Area less than 7 6 80%** 65% 2.3m 2.3m - 2.3m 2.3m 5Sq.m 7 less than 15 6 65% 65% 3.0m 3.0m - 3.0m 3.0m 9 Sq.m 15 less than 30 12 65% 65% 4.0m 4.0m 1.0m and 3.0m 4.0m 4.0m 16 Sq.m 30 less than 50 20 65% 65% 4.0m 5.0m 3.0m both side 5.0m 5.0m 25 Sq.m 50 less than 75 30 50%*** 50%* || nt Authority Form E - Setbacks &amp; Open Spaces Building Height (m) Minimum Site Frontage (m) Plot Coverage * Rear Space (m) Side Space (m) Light Well for NLV Non Residenti al Residenti al When no NLV is taking this end When NLV is taking this end When no NLV is taking this end When NLV is taking this end Minimum width Minimum Area less than 7 6 80%** 65% 2.3m 2.3m - 2.3m 2.3m 5Sq.m 7 less than 15 6 65% 65% 3.0m 3.0m - 3.0m 3.0m 9 Sq.m 15 less than 30 12 65% 65% 4.0m 4.0m 1.0m and 3.0m 4.0m 4.0m 16 Sq.m 30 less than 50 20 65% 65% 4.0m 5.0m 3.0m both side 5.0m 5.0m 25 Sq.m 50 less than 75 30 50%*** 50%*** 5.0m 6.0m 4.0m both side 6.0m 6.0m 36 Sq.m 75 and above Above 40 50% || eight between access road level to roof top or roof level (Including parking floors) * Where no Plot Coverage specified under the zoning regulations ** The entire development is for non-residential activities *** 65% plot coverage can be allowed only for the podium level not exceeding 20% of the tower height or 12 floors whichever is less **** Minimum area shall be increased by 1Sq.m for every additional 3m height Form B - Number of Floors for 3.0m &amp; 4.5m wide Roads Minimum Road Width Minimum Site Frontage Plot Coverage* Maximum Number of Floors Zone Factor 0.5 – 0.74 Zone Factor 0.75- 1.24 Zone Factor 1.25 - 3.49 Zone Factor 3.50 - 4.00 3.0m 6m 65% 1 (G) 2 (G+1) 3 (G+2) 3 (G+2) 4.5m 6m 65% 1 (G) 2 (</x:v>
      </x:c>
      <x:c r="G356" s="8" t="str">
        <x:v>candidate_unreviewed</x:v>
      </x:c>
      <x:c r="H356" s="21" t="b">
        <x:v>0</x:v>
      </x:c>
      <x:c r="I356" s="8" t="str">
        <x:v>Keyword extraction only. Read page image and full context before promoting. English search cannot exclude Sinhala/Tamil or image-only content.</x:v>
      </x:c>
    </x:row>
    <x:row r="357" ht="644" customHeight="1">
      <x:c r="A357" s="11" t="str">
        <x:v>C00356</x:v>
      </x:c>
      <x:c r="B357" s="11" t="str">
        <x:v>SRC_0065</x:v>
      </x:c>
      <x:c r="C357" s="11" t="str">
        <x:v>MoratuwaDevelopmentPlanEnglish.pdf</x:v>
      </x:c>
      <x:c r="D357" s="22" t="n">
        <x:v>204</x:v>
      </x:c>
      <x:c r="E357" s="11" t="str">
        <x:v>minimum width, plot coverage, setbacks</x:v>
      </x:c>
      <x:c r="F357" s="11" t="str">
        <x:v>cated including parking areas Number of units allowed for each road shall not be changed * Where no plot coverage speciied under the zoning regulations Schedule 03 Form E - Setbacks &amp; Open Spaces Building Category Building Height (m) Minimum Site Frontage (m) Plot Coverage* Rear Space (m) Side Space (m) Light Well for NLV Non Residential Residential When no NLV is taking this end When NLV is taking this end When no NLV is taking this end When NLV is taking this end Minimum width Minimum Area Low Rise less than 7 6 80%** 65% 2.3m 2.3m - 2.3m 2.3m 5 Sq.m 7 less than 15 6 65% 65% 3.0m 3.0m - 3.0m 3.0m 9 Sq.m Inter Mediate Rise 15 less than 30 12 65% 65% 4.0m 4.0m 1.0m and 3.0m 4.0m 4.0m 16 Sq.m Middle Rise 30 less than 50 20 65% 65% 4.0m 5.0m 3.0m bo || not be changed * Where no plot coverage speciied under the zoning regulations Schedule 03 Form E - Setbacks &amp; Open Spaces Building Category Building Height (m) Minimum Site Frontage (m) Plot Coverage* Rear Space (m) Side Space (m) Light Well for NLV Non Residential Residential When no NLV is taking this end When NLV is taking this end When no NLV is taking this end When NLV is taking this end Minimum width Minimum Area Low Rise less than 7 6 80%** 65% 2.3m 2.3m - 2.3m 2.3m 5 Sq.m 7 less than 15 6 65% 65% 3.0m 3.0m - 3.0m 3.0m 9 Sq.m Inter Mediate Rise 15 less than 30 12 65% 65% 4.0m 4.0m 1.0m and 3.0m 4.0m 4.0m 16 Sq.m Middle Rise 30 less than 50 20 65% 65% 4.0m 5.0m 3.0m both side 5.0m 5.0m 25 Sq.m High Rise 50 less than 75 30 50%*** 50%*** || 03 Form E - Setbacks &amp; Open Spaces Building Category Building Height (m) Minimum Site Frontage (m) Plot Coverage* Rear Space (m) Side Space (m) Light Well for NLV Non Residential Residential When no NLV is taking this end When NLV is taking this end When no NLV is taking this end When NLV is taking this end Minimum width Minimum Area Low Rise less than 7 6 80%** 65% 2.3m 2.3m - 2.3m 2.3m 5 Sq.m 7 less than 15 6 65% 65% 3.0m 3.0m - 3.0m 3.0m 9 Sq.m Inter Mediate Rise 15 less than 30 12 65% 65% 4.0m 4.0m 1.0m and 3.0m 4.0m 4.0m 16 Sq.m Middle Rise 30 less than 50 20 65% 65% 4.0m 5.0m 3.0m both side 5.0m 5.0m 25 Sq.m High Rise 50 less than 75 30 50%*** 50%*** 5.0m 6.0m 4.0m both</x:v>
      </x:c>
      <x:c r="G357" s="11" t="str">
        <x:v>candidate_unreviewed</x:v>
      </x:c>
      <x:c r="H357" s="24" t="b">
        <x:v>0</x:v>
      </x:c>
      <x:c r="I357" s="11" t="str">
        <x:v>Keyword extraction only. Read page image and full context before promoting. English search cannot exclude Sinhala/Tamil or image-only content.</x:v>
      </x:c>
    </x:row>
    <x:row r="358" ht="238" customHeight="1">
      <x:c r="A358" s="8" t="str">
        <x:v>C00357</x:v>
      </x:c>
      <x:c r="B358" s="8" t="str">
        <x:v>SRC_0065</x:v>
      </x:c>
      <x:c r="C358" s="8" t="str">
        <x:v>MoratuwaDevelopmentPlanEnglish.pdf</x:v>
      </x:c>
      <x:c r="D358" s="18" t="n">
        <x:v>208</x:v>
      </x:c>
      <x:c r="E358" s="8" t="str">
        <x:v>plot coverage</x:v>
      </x:c>
      <x:c r="F358" s="8" t="str">
        <x:v>related uses, minimum site frontage of the land should be 100 feet. XXV. Permissible Maximum plot coverage should be 50% for the Schools, Education Institutions and Hospitals. XXVI. Guidelines, gazette notiications and circulars issued by other Government agencies in these Planning Zones will be apply further. XXVII. Where a particular plot of land and/or property which recognized under the Moratuwa Development Plan are allocated for any designated use it shall be used only for such purpose. XXVIII. If the Authority is satisied with other uses in addition to uses which are indicated separately in the relevant zones, it will consider granting permission subject to conditions. XXIX. The approval for any use not mentioned in permissible use</x:v>
      </x:c>
      <x:c r="G358" s="8" t="str">
        <x:v>candidate_unreviewed</x:v>
      </x:c>
      <x:c r="H358" s="21" t="b">
        <x:v>0</x:v>
      </x:c>
      <x:c r="I358" s="8" t="str">
        <x:v>Keyword extraction only. Read page image and full context before promoting. English search cannot exclude Sinhala/Tamil or image-only content.</x:v>
      </x:c>
    </x:row>
    <x:row r="359" ht="448" customHeight="1">
      <x:c r="A359" s="11" t="str">
        <x:v>C00358</x:v>
      </x:c>
      <x:c r="B359" s="11" t="str">
        <x:v>SRC_0065</x:v>
      </x:c>
      <x:c r="C359" s="11" t="str">
        <x:v>MoratuwaDevelopmentPlanEnglish.pdf</x:v>
      </x:c>
      <x:c r="D359" s="22" t="n">
        <x:v>210</x:v>
      </x:c>
      <x:c r="E359" s="11" t="str">
        <x:v>minimum width, setback</x:v>
      </x:c>
      <x:c r="F359" s="11" t="str">
        <x:v>7.5. Common Guidelines for Water Shed Area • In construction of buildings in the waterfront area a setback of ¼ of the width of the site or 4 Meters whichever is less should be maintained from the embankment of the water front so as to ensure unobstructed view of the water body from the road. Construction of buildings in more than one lot the developments in such lots should comply with the conditions stipulated by the Planning Committee. If none of the above guidelines are deemed to be impractical in undertaking developments in sites with a minimum width of the site frontage is 6 Meters the development seeking approval may be designed to maintain an open view of the water body through a 3 Meter wide viewing canal at the ground loor. • || e of the above guidelines are deemed to be impractical in undertaking developments in sites with a minimum width of the site frontage is 6 Meters the development seeking approval may be designed to maintain an open view of the water body through a 3 Meter wide viewing canal at the ground loor. • The land sub-division plans seeking approvals for sub-division of lands with water frontages will be grantewd with additional 10% increase over the permissible loor area ratio provided the proposed sub-division plan includes public access to the water front through the land to be sub-divided enabling the public to enjoy the water body and its environment. • Building constructions in lands with a side facing a water body, such side elevation should be</x:v>
      </x:c>
      <x:c r="G359" s="11" t="str">
        <x:v>candidate_unreviewed</x:v>
      </x:c>
      <x:c r="H359" s="24" t="b">
        <x:v>0</x:v>
      </x:c>
      <x:c r="I359" s="11" t="str">
        <x:v>Keyword extraction only. Read page image and full context before promoting. English search cannot exclude Sinhala/Tamil or image-only content.</x:v>
      </x:c>
    </x:row>
    <x:row r="360" ht="378" customHeight="1">
      <x:c r="A360" s="8" t="str">
        <x:v>C00359</x:v>
      </x:c>
      <x:c r="B360" s="8" t="str">
        <x:v>SRC_0065</x:v>
      </x:c>
      <x:c r="C360" s="8" t="str">
        <x:v>MoratuwaDevelopmentPlanEnglish.pdf</x:v>
      </x:c>
      <x:c r="D360" s="18" t="n">
        <x:v>222</x:v>
      </x:c>
      <x:c r="E360" s="8" t="str">
        <x:v>plot coverage</x:v>
      </x:c>
      <x:c r="F360" s="8" t="str">
        <x:v>mitted only for ground loor and another one loor (G+1) building. (e) Approved plots Coverage’s The plot coverage within the Lunawa Lagoon Reservation Promotion Zone shall be 50%.(The zone between 8m to 30m) The Development from 30m to Boundary limit, the applicable plot coverage shall be 65% for the residential developments and 65% for the non-residential developments (f) General Terms Related to the Zone • The development activities carried out within this zone are permitted subject to the clearance from CEA , Coast Conservation Department and Railway Department. • The area which are not covered by the Building, shall maintained with greenery. Chapter 08 Zoning Guidelines High-Density Green Residential Zone || all be 50%.(The zone between 8m to 30m) The Development from 30m to Boundary limit, the applicable plot coverage shall be 65% for the residential developments and 65% for the non-residential developments (f) General Terms Related to the Zone • The development activities carried out within this zone are permitted subject to the clearance from CEA , Coast Conservation Department and Railway Department. • The area which are not covered by the Building, shall maintained with greenery. Chapter 08 Zoning Guidelines High-Density Green Residential Zone</x:v>
      </x:c>
      <x:c r="G360" s="8" t="str">
        <x:v>candidate_unreviewed</x:v>
      </x:c>
      <x:c r="H360" s="21" t="b">
        <x:v>0</x:v>
      </x:c>
      <x:c r="I360" s="8" t="str">
        <x:v>Keyword extraction only. Read page image and full context before promoting. English search cannot exclude Sinhala/Tamil or image-only content.</x:v>
      </x:c>
    </x:row>
    <x:row r="361" ht="210" customHeight="1">
      <x:c r="A361" s="11" t="str">
        <x:v>C00360</x:v>
      </x:c>
      <x:c r="B361" s="11" t="str">
        <x:v>SRC_0065</x:v>
      </x:c>
      <x:c r="C361" s="11" t="str">
        <x:v>MoratuwaDevelopmentPlanEnglish.pdf</x:v>
      </x:c>
      <x:c r="D361" s="22" t="n">
        <x:v>229</x:v>
      </x:c>
      <x:c r="E361" s="11" t="str">
        <x:v>plot coverage</x:v>
      </x:c>
      <x:c r="F361" s="11" t="str">
        <x:v>nimum lot size required for such industrial development has been brought down to 20 Perches while plot coverage applicable within this zone has been increased up to 80% whereas the same for other developments will be limited to 50%. (b) Zoning Boundaries (Coordinates) Noted in Annexure 18 (c) Zoning Factor 1.75 (d) Approved height limit According to the A, B and C form (e) Approved plots Coverage’s Timber industry related activities- 80% Other- 50% (f) General Terms Related to the Zone • The non-residential developments within this zone shall be considered subject to the approval of the CEA Chapter 08 Zoning Guidelines Timber Related Production Promotion Zone</x:v>
      </x:c>
      <x:c r="G361" s="11" t="str">
        <x:v>candidate_unreviewed</x:v>
      </x:c>
      <x:c r="H361" s="24" t="b">
        <x:v>0</x:v>
      </x:c>
      <x:c r="I361" s="11" t="str">
        <x:v>Keyword extraction only. Read page image and full context before promoting. English search cannot exclude Sinhala/Tamil or image-only content.</x:v>
      </x:c>
    </x:row>
    <x:row r="362" ht="224" customHeight="1">
      <x:c r="A362" s="8" t="str">
        <x:v>C00361</x:v>
      </x:c>
      <x:c r="B362" s="8" t="str">
        <x:v>SRC_0065</x:v>
      </x:c>
      <x:c r="C362" s="8" t="str">
        <x:v>MoratuwaDevelopmentPlanEnglish.pdf</x:v>
      </x:c>
      <x:c r="D362" s="18" t="n">
        <x:v>231</x:v>
      </x:c>
      <x:c r="E362" s="8" t="str">
        <x:v>plot coverage</x:v>
      </x:c>
      <x:c r="F362" s="8" t="str">
        <x:v>determined on the basis of the A &amp; B Form. (e) Approved plots Coverage’s From 12 m to 36m- 65% The plot coverage for the residential developments shall be 65% and the same for the non-residential developments shall be 70% within the land area extending from the outer boundary of the 36 Meter up to the Zone Boundary (f) General Terms Related to the Zone • The Zone between 12m to 36m from the Bolgoda River bank and residential development loor area exceeding 3000 square feet and other permissible uses are required to obtain clearance from CEA • The prospective developments within this zone change of topography by illing or cutting earth shall not be permitted. All the developments should be undertaken following the natural topographical</x:v>
      </x:c>
      <x:c r="G362" s="8" t="str">
        <x:v>candidate_unreviewed</x:v>
      </x:c>
      <x:c r="H362" s="21" t="b">
        <x:v>0</x:v>
      </x:c>
      <x:c r="I362" s="8" t="str">
        <x:v>Keyword extraction only. Read page image and full context before promoting. English search cannot exclude Sinhala/Tamil or image-only content.</x:v>
      </x:c>
    </x:row>
    <x:row r="363" ht="238" customHeight="1">
      <x:c r="A363" s="11" t="str">
        <x:v>C00362</x:v>
      </x:c>
      <x:c r="B363" s="11" t="str">
        <x:v>SRC_0066</x:v>
      </x:c>
      <x:c r="C363" s="11" t="str">
        <x:v>Nawalapitiya_DP_E.pdf</x:v>
      </x:c>
      <x:c r="D363" s="22" t="n">
        <x:v>148</x:v>
      </x:c>
      <x:c r="E363" s="11" t="str">
        <x:v>plot coverage</x:v>
      </x:c>
      <x:c r="F363" s="11" t="str">
        <x:v>mum allowed height for these structures is 3.3 meters, and they must not exceed 10% of the allowed plot coverage. 38. When a swimming pool is proposed on the top of a building classified under Category C, the building will then be considered as Category B. Additionally, the height of the swimming pool must be limited to 01 meter. 39. The allowable maximum floor area ratio (FAR) will be determined as outlined in Chapter 07, in accordance with the zone factors specified for each zone. However, in cases where issues arise regarding the total floor area, the UDA retains the authority to make decisions, considering development trends and vehicle movement patterns. 40. During the construction of buildings, the slope of the proposed land should be co</x:v>
      </x:c>
      <x:c r="G363" s="11" t="str">
        <x:v>candidate_unreviewed</x:v>
      </x:c>
      <x:c r="H363" s="24" t="b">
        <x:v>0</x:v>
      </x:c>
      <x:c r="I363" s="11" t="str">
        <x:v>Keyword extraction only. Read page image and full context before promoting. English search cannot exclude Sinhala/Tamil or image-only content.</x:v>
      </x:c>
    </x:row>
    <x:row r="364" ht="56" customHeight="1">
      <x:c r="A364" s="8" t="str">
        <x:v>C00363</x:v>
      </x:c>
      <x:c r="B364" s="8" t="str">
        <x:v>SRC_0069</x:v>
      </x:c>
      <x:c r="C364" s="8" t="str">
        <x:v>Nintavur Development Plan - English.pdf</x:v>
      </x:c>
      <x:c r="D364" s="18" t="n">
        <x:v>159</x:v>
      </x:c>
      <x:c r="E364" s="8" t="str">
        <x:v>setbacks</x:v>
      </x:c>
      <x:c r="F364" s="8" t="str">
        <x:v>able 7. 4 Form D - Number of Floors for 3.0m &amp; 4.5m wide Roads Table 7. 5 Form E – Setbacks &amp; Open Spaces</x:v>
      </x:c>
      <x:c r="G364" s="8" t="str">
        <x:v>candidate_unreviewed</x:v>
      </x:c>
      <x:c r="H364" s="21" t="b">
        <x:v>0</x:v>
      </x:c>
      <x:c r="I364" s="8" t="str">
        <x:v>Keyword extraction only. Read page image and full context before promoting. English search cannot exclude Sinhala/Tamil or image-only content.</x:v>
      </x:c>
    </x:row>
    <x:row r="365" ht="182" customHeight="1">
      <x:c r="A365" s="11" t="str">
        <x:v>C00364</x:v>
      </x:c>
      <x:c r="B365" s="11" t="str">
        <x:v>SRC_0069</x:v>
      </x:c>
      <x:c r="C365" s="11" t="str">
        <x:v>Nintavur Development Plan - English.pdf</x:v>
      </x:c>
      <x:c r="D365" s="22" t="n">
        <x:v>180</x:v>
      </x:c>
      <x:c r="E365" s="11" t="str">
        <x:v>setbacks</x:v>
      </x:c>
      <x:c r="F365" s="11" t="str">
        <x:v>3m &amp; 4.5m wide roads ..................................................... 146 Table 7. 3 Form C - Setbacks .............................................................................................................. 147 No table of figures entries found. List of Figures Figure 2. 1 Natural Boundary of Nintavur ............................................................................................ 16 Figure 3. 1 Sea Erosion ......................................................................................................................... 21</x:v>
      </x:c>
      <x:c r="G365" s="11" t="str">
        <x:v>candidate_unreviewed</x:v>
      </x:c>
      <x:c r="H365" s="24" t="b">
        <x:v>0</x:v>
      </x:c>
      <x:c r="I365" s="11" t="str">
        <x:v>Keyword extraction only. Read page image and full context before promoting. English search cannot exclude Sinhala/Tamil or image-only content.</x:v>
      </x:c>
    </x:row>
    <x:row r="366" ht="238" customHeight="1">
      <x:c r="A366" s="8" t="str">
        <x:v>C00365</x:v>
      </x:c>
      <x:c r="B366" s="8" t="str">
        <x:v>SRC_0070</x:v>
      </x:c>
      <x:c r="C366" s="8" t="str">
        <x:v>Nuwara Eliya.pdf</x:v>
      </x:c>
      <x:c r="D366" s="18" t="n">
        <x:v>18</x:v>
      </x:c>
      <x:c r="E366" s="8" t="str">
        <x:v>setbacks</x:v>
      </x:c>
      <x:c r="F366" s="8" t="str">
        <x:v>03m &amp; 4.5m Wide Roads ................................................... 2 Table 7. 0.4: Form C - Setbacks &amp; Open Spaces .............................................................................. 3 7.3. Zoning &amp; Common Guidelines ..................................................................................................... 0 7.3.1. Architectural Standers and specification Applicable for all zone ......................................... 0 7.3.2. Endemic Trees of Nuwara Eliya which Suitable for Planting .......................................... 1 ................................................................................................................................................................ 2 CHAPTER 08- ZONING G</x:v>
      </x:c>
      <x:c r="G366" s="8" t="str">
        <x:v>candidate_unreviewed</x:v>
      </x:c>
      <x:c r="H366" s="21" t="b">
        <x:v>0</x:v>
      </x:c>
      <x:c r="I366" s="8" t="str">
        <x:v>Keyword extraction only. Read page image and full context before promoting. English search cannot exclude Sinhala/Tamil or image-only content.</x:v>
      </x:c>
    </x:row>
    <x:row r="367" ht="644" customHeight="1">
      <x:c r="A367" s="11" t="str">
        <x:v>C00366</x:v>
      </x:c>
      <x:c r="B367" s="11" t="str">
        <x:v>SRC_0070</x:v>
      </x:c>
      <x:c r="C367" s="11" t="str">
        <x:v>Nuwara Eliya.pdf</x:v>
      </x:c>
      <x:c r="D367" s="22" t="n">
        <x:v>28</x:v>
      </x:c>
      <x:c r="E367" s="11" t="str">
        <x:v>minimum width</x:v>
      </x:c>
      <x:c r="F367" s="11" t="str">
        <x:v>e following roads shall not be less than 15 meters. ..................................... 0 9.1.2. Minimum width of the roads is more than10m.................................................................... 0 9.1.3. Minimum width of the roads is more than 08 m .................................................................. 1 9.1.4. Minimum width of the roads more than 07 m ..................................................................... 2 9.2. Reservation for water bodies ....................................................................................................... 4 9.3. Permissible height limits according to the view analysis ............................................................. 5 9.3.1. Objectives of protecting visi || roads is more than10m.................................................................... 0 9.1.3. Minimum width of the roads is more than 08 m .................................................................. 1 9.1.4. Minimum width of the roads more than 07 m ..................................................................... 2 9.2. Reservation for water bodies ....................................................................................................... 4 9.3. Permissible height limits according to the view analysis ............................................................. 5 9.3.1. Objectives of protecting visibility zones .............................................................................. 5 Table of Maps............. || oads is more than 08 m .................................................................. 1 9.1.4. Minimum width of the roads more than 07 m ..................................................................... 2 9.2. Reservation for water bodies ....................................................................................................... 4 9.3. Permissible height limits according to the view analysis ............................................................. 5 9.3.1. Objectives of protecting visibility zones .............................................................................. 5 Table of Maps..........................................................</x:v>
      </x:c>
      <x:c r="G367" s="11" t="str">
        <x:v>candidate_unreviewed</x:v>
      </x:c>
      <x:c r="H367" s="24" t="b">
        <x:v>0</x:v>
      </x:c>
      <x:c r="I367" s="11" t="str">
        <x:v>Keyword extraction only. Read page image and full context before promoting. English search cannot exclude Sinhala/Tamil or image-only content.</x:v>
      </x:c>
    </x:row>
    <x:row r="368" ht="238" customHeight="1">
      <x:c r="A368" s="8" t="str">
        <x:v>C00367</x:v>
      </x:c>
      <x:c r="B368" s="8" t="str">
        <x:v>SRC_0070</x:v>
      </x:c>
      <x:c r="C368" s="8" t="str">
        <x:v>Nuwara Eliya.pdf</x:v>
      </x:c>
      <x:c r="D368" s="18" t="n">
        <x:v>185</x:v>
      </x:c>
      <x:c r="E368" s="8" t="str">
        <x:v>plot coverage</x:v>
      </x:c>
      <x:c r="F368" s="8" t="str">
        <x:v>high areas and named as vegetable cultivation zones. Through that it is expected to minimizing the plot coverage further as well and to lessen the building constructions and land subdivisions in those areas. It is expected to keep the upcountry vegetable cultivation as the same as present and connect the endemic up country vegetable cultivation in Nuwaraeliya with tourism industry and to make regulation to develop tourism industry. And allow to agro-tourism projects within these zones by making plans. For the purpose of inclination of the farmers to carbonic vegetable cultivation, it is proposed to allow to projects related to carbonic vegetable cultivation in connection with tourism industry. It is recommended in this plan to obtain the GPA cer</x:v>
      </x:c>
      <x:c r="G368" s="8" t="str">
        <x:v>candidate_unreviewed</x:v>
      </x:c>
      <x:c r="H368" s="21" t="b">
        <x:v>0</x:v>
      </x:c>
      <x:c r="I368" s="8" t="str">
        <x:v>Keyword extraction only. Read page image and full context before promoting. English search cannot exclude Sinhala/Tamil or image-only content.</x:v>
      </x:c>
    </x:row>
    <x:row r="369" ht="238" customHeight="1">
      <x:c r="A369" s="11" t="str">
        <x:v>C00368</x:v>
      </x:c>
      <x:c r="B369" s="11" t="str">
        <x:v>SRC_0070</x:v>
      </x:c>
      <x:c r="C369" s="11" t="str">
        <x:v>Nuwara Eliya.pdf</x:v>
      </x:c>
      <x:c r="D369" s="22" t="n">
        <x:v>217</x:v>
      </x:c>
      <x:c r="E369" s="11" t="str">
        <x:v>plot coverage</x:v>
      </x:c>
      <x:c r="F369" s="11" t="str">
        <x:v>remises in above all zones. In this way they are use to composting organic vegetable cultivations. Plot coverage is the above zones are 50% and balance land should use for upcountry vegetable cultivation and flower cultivation also it is allowed for landscaping. Through this process to need collection of digestive waste and it will be reason to reduced the waste within the limit of municipal council area. 02.Reuse of the non digestive waste. In the year of 2030, the estimated non digestible waste extent is 8 tons and that qualitty only use for the container establish in disposal project. However in future for the tourist population make awareness for non digestable waste uses need to minimize non digestable waste collection should be done</x:v>
      </x:c>
      <x:c r="G369" s="11" t="str">
        <x:v>candidate_unreviewed</x:v>
      </x:c>
      <x:c r="H369" s="24" t="b">
        <x:v>0</x:v>
      </x:c>
      <x:c r="I369" s="11" t="str">
        <x:v>Keyword extraction only. Read page image and full context before promoting. English search cannot exclude Sinhala/Tamil or image-only content.</x:v>
      </x:c>
    </x:row>
    <x:row r="370" ht="196" customHeight="1">
      <x:c r="A370" s="8" t="str">
        <x:v>C00369</x:v>
      </x:c>
      <x:c r="B370" s="8" t="str">
        <x:v>SRC_0070</x:v>
      </x:c>
      <x:c r="C370" s="8" t="str">
        <x:v>Nuwara Eliya.pdf</x:v>
      </x:c>
      <x:c r="D370" s="18" t="n">
        <x:v>224</x:v>
      </x:c>
      <x:c r="E370" s="8" t="str">
        <x:v>plot coverage</x:v>
      </x:c>
      <x:c r="F370" s="8" t="str">
        <x:v>ution. Table 6.0.18: Road wise preserved buildings. Name of the street Total of the units Plot coverage (perches) Building Age ( years) &lt; 10 11- 20 21-30 31-40 Over 41 Not defined Over 100 years 75-99 50- 74 Below 49 Not defined 01 Queen Elizebeth street 13 03 02 05 01 02 - 10 01 02 02 Upper lake road 08 02 02 02 01 - 01 04 - - - 04 03 Badulla road 11 07 - 03 - - 01 03 03 03 - 02 04 Haddonhill road 04 02 01 - 01 - - 01 - 02 - 01 05 Wedabbon raod 09 03 04 - - - 02 05 03 - - 01 06 Church road 11 08 02 01 - - - 07 01 01 - 02 07 Park road 02 01 01 - - - - 02 - - - 08 Kandy road 04 03 - - - - 01 02 01 01 -</x:v>
      </x:c>
      <x:c r="G370" s="8" t="str">
        <x:v>candidate_unreviewed</x:v>
      </x:c>
      <x:c r="H370" s="21" t="b">
        <x:v>0</x:v>
      </x:c>
      <x:c r="I370" s="8" t="str">
        <x:v>Keyword extraction only. Read page image and full context before promoting. English search cannot exclude Sinhala/Tamil or image-only content.</x:v>
      </x:c>
    </x:row>
    <x:row r="371" ht="224" customHeight="1">
      <x:c r="A371" s="11" t="str">
        <x:v>C00370</x:v>
      </x:c>
      <x:c r="B371" s="11" t="str">
        <x:v>SRC_0070</x:v>
      </x:c>
      <x:c r="C371" s="11" t="str">
        <x:v>Nuwara Eliya.pdf</x:v>
      </x:c>
      <x:c r="D371" s="22" t="n">
        <x:v>226</x:v>
      </x:c>
      <x:c r="E371" s="11" t="str">
        <x:v>minimum width</x:v>
      </x:c>
      <x:c r="F371" s="11" t="str">
        <x:v>ve deposited silt. 183.8 10 Widen the Unique view road. 182.8 11 Develop the hospital road as minimum width of 12meters. 181.4 12 Development of Unique view housing project. 180.8 13 Develop the drain system floors through district secretariat and Nuwaraeliya municipal council premises. 178.6 14 Development of 2nd phase Nuwaraeliya bus stand. 178.2 15 Construction of common playground at Magasthota near Gregory lake 175.0 16 Develop the vehicle parking area of the main hospital. 172.4 17 Construction of cycle tracks and walk ways from Gregory lake zone to commercial zone for tourists. 171.7 18 Construction of walk ways for tourist at the forest boundary limit. 170.2 19 Construction of walk ways at the right side ban</x:v>
      </x:c>
      <x:c r="G371" s="11" t="str">
        <x:v>candidate_unreviewed</x:v>
      </x:c>
      <x:c r="H371" s="24" t="b">
        <x:v>0</x:v>
      </x:c>
      <x:c r="I371" s="11" t="str">
        <x:v>Keyword extraction only. Read page image and full context before promoting. English search cannot exclude Sinhala/Tamil or image-only content.</x:v>
      </x:c>
    </x:row>
    <x:row r="372" ht="140" customHeight="1">
      <x:c r="A372" s="8" t="str">
        <x:v>C00371</x:v>
      </x:c>
      <x:c r="B372" s="8" t="str">
        <x:v>SRC_0070</x:v>
      </x:c>
      <x:c r="C372" s="8" t="str">
        <x:v>Nuwara Eliya.pdf</x:v>
      </x:c>
      <x:c r="D372" s="18" t="n">
        <x:v>266</x:v>
      </x:c>
      <x:c r="E372" s="8" t="str">
        <x:v>plot coverage</x:v>
      </x:c>
      <x:c r="F372" s="8" t="str">
        <x:v>2. Number of units allowed for each road shall not be changed 3. * Where no plot coverage specified under the zoning regulations Form B - Number of Floors for 3.0m &amp; 4.5m wide Roads Minimum Road Width Minimum Site Frontage Plot Coverage* Maximum Number of Floors Zone Factor 0.5 - 0.74 Zone Factor 0.75 - 1.24 Zone Factor 1.25 - 3.49 Zone Factor 3.50 - 4.00 3.0m 6m 65% 1 (G) 2 (G+1) 3 (G+2) 3 (G+2) 4.5m 6m 65% 1 (G) 2 (G+1) 3 (G+2) 4 (G+3)</x:v>
      </x:c>
      <x:c r="G372" s="8" t="str">
        <x:v>candidate_unreviewed</x:v>
      </x:c>
      <x:c r="H372" s="21" t="b">
        <x:v>0</x:v>
      </x:c>
      <x:c r="I372" s="8" t="str">
        <x:v>Keyword extraction only. Read page image and full context before promoting. English search cannot exclude Sinhala/Tamil or image-only content.</x:v>
      </x:c>
    </x:row>
    <x:row r="373" ht="588" customHeight="1">
      <x:c r="A373" s="11" t="str">
        <x:v>C00372</x:v>
      </x:c>
      <x:c r="B373" s="11" t="str">
        <x:v>SRC_0070</x:v>
      </x:c>
      <x:c r="C373" s="11" t="str">
        <x:v>Nuwara Eliya.pdf</x:v>
      </x:c>
      <x:c r="D373" s="22" t="n">
        <x:v>267</x:v>
      </x:c>
      <x:c r="E373" s="11" t="str">
        <x:v>plot coverage, setbacks</x:v>
      </x:c>
      <x:c r="F373" s="11" t="str">
        <x:v>Greater Nuwara Eliya Development Plan 2022-2032 3 7.2.3. Form 03 - Setbacks Table 7. 0.4: Form C - Setbacks &amp; Open Spaces NLV - Natural Light &amp; Ventilation Building Height - Height between access road level to roof top or roof level (Including parking floors) * Where no Plot Coverage specified under the zoning regulations ** The entire development is for non-residential activities *** 65% plot coverage can be allowed only for the podium level not exceeding 20% of the tower height or 12 floors which ever is less **** Minimum area shall be increased by 1 Sq.m for every additional 3m height Form C - Setbacks &amp; Open Spaces Building Height ( || uwara Eliya Development Plan 2022-2032 3 7.2.3. Form 03 - Setbacks Table 7. 0.4: Form C - Setbacks &amp; Open Spaces NLV - Natural Light &amp; Ventilation Building Height - Height between access road level to roof top or roof level (Including parking floors) * Where no Plot Coverage specified under the zoning regulations ** The entire development is for non-residential activities *** 65% plot coverage can be allowed only for the podium level not exceeding 20% of the tower height or 12 floors which ever is less **** Minimum area shall be increased by 1 Sq.m for every additional 3m height Form C - Setbacks &amp; Open Spaces Building Height (m) Minimum Site Frontage (m) || tween access road level to roof top or roof level (Including parking floors) * Where no Plot Coverage specified under the zoning regulations ** The entire development is for non-residential activities *** 65% plot coverage can be allowed only for the podium level not exceeding 20% of the tower height or 12 floors which ever is less **** Minimum area shall be increased by 1 Sq.m for every additional 3m height Form C - Setbacks &amp; Open Spaces Building Height (m) Minimum Site Frontage (m) Plot Coverage* Rear Space (m) Side Space (m) Light Well for NLV Non Residential Residential When no NLV is taking this end When NLV is taking this end When no NLV is taking this end When N</x:v>
      </x:c>
      <x:c r="G373" s="11" t="str">
        <x:v>candidate_unreviewed</x:v>
      </x:c>
      <x:c r="H373" s="24" t="b">
        <x:v>0</x:v>
      </x:c>
      <x:c r="I373" s="11" t="str">
        <x:v>Keyword extraction only. Read page image and full context before promoting. English search cannot exclude Sinhala/Tamil or image-only content.</x:v>
      </x:c>
    </x:row>
    <x:row r="374" ht="98" customHeight="1">
      <x:c r="A374" s="8" t="str">
        <x:v>C00373</x:v>
      </x:c>
      <x:c r="B374" s="8" t="str">
        <x:v>SRC_0070</x:v>
      </x:c>
      <x:c r="C374" s="8" t="str">
        <x:v>Nuwara Eliya.pdf</x:v>
      </x:c>
      <x:c r="D374" s="18" t="n">
        <x:v>277</x:v>
      </x:c>
      <x:c r="E374" s="8" t="str">
        <x:v>plot coverage</x:v>
      </x:c>
      <x:c r="F374" s="8" t="str">
        <x:v>or development other than agricultural activities for the land where granted approval for maximum plot coverage from the date of gazetting the Development Plan. • Eco- Toruism activities will be allowed after reviewing the project by the Authority. Figure 8.0.3:Agriculture based Low Density -03</x:v>
      </x:c>
      <x:c r="G374" s="8" t="str">
        <x:v>candidate_unreviewed</x:v>
      </x:c>
      <x:c r="H374" s="21" t="b">
        <x:v>0</x:v>
      </x:c>
      <x:c r="I374" s="8" t="str">
        <x:v>Keyword extraction only. Read page image and full context before promoting. English search cannot exclude Sinhala/Tamil or image-only content.</x:v>
      </x:c>
    </x:row>
    <x:row r="375" ht="140" customHeight="1">
      <x:c r="A375" s="11" t="str">
        <x:v>C00374</x:v>
      </x:c>
      <x:c r="B375" s="11" t="str">
        <x:v>SRC_0070</x:v>
      </x:c>
      <x:c r="C375" s="11" t="str">
        <x:v>Nuwara Eliya.pdf</x:v>
      </x:c>
      <x:c r="D375" s="22" t="n">
        <x:v>315</x:v>
      </x:c>
      <x:c r="E375" s="11" t="str">
        <x:v>minimum width</x:v>
      </x:c>
      <x:c r="F375" s="11" t="str">
        <x:v>oad 08. Race Course Road 09. Kandy Road 10. Queen Elizabath Drive 11. Nanu Oya Road 9.1.2. Minimum width of the roads is more than10m 1. The building line of the following roads shall not be less than 10 meters 01. Oliphant ShanthipuraRoad 02. Meepilimana “gammedda” road from GPScoordination 6° 55’ 27.78” N/80° 47’ 22.45”to 6° 55’40.70”N /80° 47’ 02.85E” 03.Grand HotelRoad 04. Clinic Road (CourtRoad) 05. Park Road 09</x:v>
      </x:c>
      <x:c r="G375" s="11" t="str">
        <x:v>candidate_unreviewed</x:v>
      </x:c>
      <x:c r="H375" s="24" t="b">
        <x:v>0</x:v>
      </x:c>
      <x:c r="I375" s="11" t="str">
        <x:v>Keyword extraction only. Read page image and full context before promoting. English search cannot exclude Sinhala/Tamil or image-only content.</x:v>
      </x:c>
    </x:row>
    <x:row r="376" ht="182" customHeight="1">
      <x:c r="A376" s="8" t="str">
        <x:v>C00375</x:v>
      </x:c>
      <x:c r="B376" s="8" t="str">
        <x:v>SRC_0070</x:v>
      </x:c>
      <x:c r="C376" s="8" t="str">
        <x:v>Nuwara Eliya.pdf</x:v>
      </x:c>
      <x:c r="D376" s="18" t="n">
        <x:v>316</x:v>
      </x:c>
      <x:c r="E376" s="8" t="str">
        <x:v>minimum width</x:v>
      </x:c>
      <x:c r="F376" s="8" t="str">
        <x:v>06. Hospita lRoad 07. Moon Plain Road (Vajira Road) 08. Upper LakeRoad 01. Kalukale Road 9.1.3. Minimum width of the roads is more than 08 m 1. building line of the following roads shall not be less than 06 meters 01. GleanFallRoadfromGPScoordination 6° 58’ 03.05”N/80° 46’ 00.09”Eto 6° 58’00.13” N/80° 45’ 49.57”E 02. Haddon Hill Road from GPS coordination 6°57’44.96”N/ 80° 46’ 00.33”Eto 6° 57’40.06” N/80° 45’52.20”E 03. Unique View Road fromGPScoordination 6°57’47.48”N/ 80° 46’ 00.61”Eto 6° 57’48.05”N /80° 45’49.66”E 6°57’45.48”N/80°45’53.17”E 04. Jayathilaka Mawatha</x:v>
      </x:c>
      <x:c r="G376" s="8" t="str">
        <x:v>candidate_unreviewed</x:v>
      </x:c>
      <x:c r="H376" s="21" t="b">
        <x:v>0</x:v>
      </x:c>
      <x:c r="I376" s="8" t="str">
        <x:v>Keyword extraction only. Read page image and full context before promoting. English search cannot exclude Sinhala/Tamil or image-only content.</x:v>
      </x:c>
    </x:row>
    <x:row r="377" ht="210" customHeight="1">
      <x:c r="A377" s="11" t="str">
        <x:v>C00376</x:v>
      </x:c>
      <x:c r="B377" s="11" t="str">
        <x:v>SRC_0070</x:v>
      </x:c>
      <x:c r="C377" s="11" t="str">
        <x:v>Nuwara Eliya.pdf</x:v>
      </x:c>
      <x:c r="D377" s="22" t="n">
        <x:v>317</x:v>
      </x:c>
      <x:c r="E377" s="11" t="str">
        <x:v>minimum width</x:v>
      </x:c>
      <x:c r="F377" s="11" t="str">
        <x:v>Greater Nuwara Eliya Development Plan 2022-2032 2 9.1.4. Minimum width of the roads more than 07 m 01. Building line or street line of the following roads shall not be less than 12meters 1. Sri PiyatissapuraRoad 38. John Street 2. Under Bank Road 39.Long Street 3. Water filed Road 40. Mount Marry Road 4. KeenaRoad 41. Gajabapura Road 5. CrossStreet 42. Militory Road 6. ChapelStreet 43. Galway’s Road 7. HillStreet 45. Old Kalegala Road 8. JamesStreet 46. BambarakeleRoad 9. KanagarthnamStreet 47. Bambarakele Bolram Road 10. Srimath JayathilakaMawatha 48. Jayathilaka Mawatha Short cut 11. Sri RahulaMawatha 49. Kalukale Short Cut Road 12. Police Lane 50 Kalukale – BonavistaRoa</x:v>
      </x:c>
      <x:c r="G377" s="11" t="str">
        <x:v>candidate_unreviewed</x:v>
      </x:c>
      <x:c r="H377" s="24" t="b">
        <x:v>0</x:v>
      </x:c>
      <x:c r="I377" s="11" t="str">
        <x:v>Keyword extraction only. Read page image and full context before promoting. English search cannot exclude Sinhala/Tamil or image-only content.</x:v>
      </x:c>
    </x:row>
    <x:row r="378" ht="238" customHeight="1">
      <x:c r="A378" s="8" t="str">
        <x:v>C00377</x:v>
      </x:c>
      <x:c r="B378" s="8" t="str">
        <x:v>SRC_0070</x:v>
      </x:c>
      <x:c r="C378" s="8" t="str">
        <x:v>Nuwara Eliya.pdf</x:v>
      </x:c>
      <x:c r="D378" s="18" t="n">
        <x:v>328</x:v>
      </x:c>
      <x:c r="E378" s="8" t="str">
        <x:v>setbacks</x:v>
      </x:c>
      <x:c r="F378" s="8" t="str">
        <x:v>03m &amp; 4.5m Wide Roads ................................................... 2 Table 7. 0.4: Form C - Setbacks &amp; Open Spaces....................................................................... 3 Table 7.0.5: Architectural Standers and specification Applicable for all zone ......................... 0 Table 7.0.6: Endemic Trees of Nuwara Eliya ............................................................................ 1 Table 8.0.1: Zoning Guidelines in Zone 01 ............................................................................... 3 Table 8.0.3: Zoning Guidelines in Zone 02 ............................................................................... 9 Table 8.0.4:Permissible uses in Zone 02 .........................................</x:v>
      </x:c>
      <x:c r="G378" s="8" t="str">
        <x:v>candidate_unreviewed</x:v>
      </x:c>
      <x:c r="H378" s="21" t="b">
        <x:v>0</x:v>
      </x:c>
      <x:c r="I378" s="8" t="str">
        <x:v>Keyword extraction only. Read page image and full context before promoting. English search cannot exclude Sinhala/Tamil or image-only content.</x:v>
      </x:c>
    </x:row>
    <x:row r="379" ht="196" customHeight="1">
      <x:c r="A379" s="11" t="str">
        <x:v>C00378</x:v>
      </x:c>
      <x:c r="B379" s="11" t="str">
        <x:v>SRC_0072</x:v>
      </x:c>
      <x:c r="C379" s="11" t="str">
        <x:v>Pelmadulla_Kahawatta_E.pdf</x:v>
      </x:c>
      <x:c r="D379" s="22" t="n">
        <x:v>16</x:v>
      </x:c>
      <x:c r="E379" s="11" t="str">
        <x:v>plot coverage</x:v>
      </x:c>
      <x:c r="F379" s="11" t="str">
        <x:v>for Agricultural zone – II 208 8.2 Schedules 211 Schedule I "A" Format: Allowable rates of Plot coverage 211 Schedule II "B" Format Permissible floor numbers 212 Schedule III "E" Format: Open Spaces published 213 Schedule IV "F " Format: Permissible uses for development zones 214 and minimum plot sizes applicable to approved uses Chapter 9 Proposed road widths, building lines and reserves 9.1 Building lines and proposed road widths 230 9.1.1 Main Roads 230 9.1.2 Other Roads 230 9.2 Reservation limits of the water bodies 233 9.3 Reservation Requirements for Excavations 234 List of figures 235 List of Maps 238 List of Tables</x:v>
      </x:c>
      <x:c r="G379" s="11" t="str">
        <x:v>candidate_unreviewed</x:v>
      </x:c>
      <x:c r="H379" s="24" t="b">
        <x:v>0</x:v>
      </x:c>
      <x:c r="I379" s="11" t="str">
        <x:v>Keyword extraction only. Read page image and full context before promoting. English search cannot exclude Sinhala/Tamil or image-only content.</x:v>
      </x:c>
    </x:row>
    <x:row r="380" ht="224" customHeight="1">
      <x:c r="A380" s="8" t="str">
        <x:v>C00379</x:v>
      </x:c>
      <x:c r="B380" s="8" t="str">
        <x:v>SRC_0072</x:v>
      </x:c>
      <x:c r="C380" s="8" t="str">
        <x:v>Pelmadulla_Kahawatta_E.pdf</x:v>
      </x:c>
      <x:c r="D380" s="18" t="n">
        <x:v>209</x:v>
      </x:c>
      <x:c r="E380" s="8" t="str">
        <x:v>plot coverage</x:v>
      </x:c>
      <x:c r="F380" s="8" t="str">
        <x:v>ortion of land that falls Street Line/ Proposed Road width shall be considered for calculation of Plot Coverage of the land. vi. Where the land is facing two or more independent roads each having width less than 6 m, the road frontage shall be computed as the sum of the road frontage facing the main access road and the width(s) of the other road(s) for the calculation of permissible Floor Area vii. In cases where a plot of land is shown to fall into two or more zones, the zone that falls within that plot is determined by the zone to which the main access road gives access. If the plot is accessed by two or more roads of the same width, the zone of the larger area of the plot shall be applied. *Conservation zones are excluded from this</x:v>
      </x:c>
      <x:c r="G380" s="8" t="str">
        <x:v>candidate_unreviewed</x:v>
      </x:c>
      <x:c r="H380" s="21" t="b">
        <x:v>0</x:v>
      </x:c>
      <x:c r="I380" s="8" t="str">
        <x:v>Keyword extraction only. Read page image and full context before promoting. English search cannot exclude Sinhala/Tamil or image-only content.</x:v>
      </x:c>
    </x:row>
    <x:row r="381" ht="98" customHeight="1">
      <x:c r="A381" s="11" t="str">
        <x:v>C00380</x:v>
      </x:c>
      <x:c r="B381" s="11" t="str">
        <x:v>SRC_0072</x:v>
      </x:c>
      <x:c r="C381" s="11" t="str">
        <x:v>Pelmadulla_Kahawatta_E.pdf</x:v>
      </x:c>
      <x:c r="D381" s="22" t="n">
        <x:v>212</x:v>
      </x:c>
      <x:c r="E381" s="11" t="str">
        <x:v>staircase</x:v>
      </x:c>
      <x:c r="F381" s="11" t="str">
        <x:v>tion. xxvi. Building limits and proposed minimum road widths applicable to existing footpaths, staircases and all roads within the Pradeshiya Sabha limits and reservations or building limits related to rivers and Chapter 07 Development Zones and Zoning Regulations</x:v>
      </x:c>
      <x:c r="G381" s="11" t="str">
        <x:v>candidate_unreviewed</x:v>
      </x:c>
      <x:c r="H381" s="24" t="b">
        <x:v>0</x:v>
      </x:c>
      <x:c r="I381" s="11" t="str">
        <x:v>Keyword extraction only. Read page image and full context before promoting. English search cannot exclude Sinhala/Tamil or image-only content.</x:v>
      </x:c>
    </x:row>
    <x:row r="382" ht="84" customHeight="1">
      <x:c r="A382" s="8" t="str">
        <x:v>C00381</x:v>
      </x:c>
      <x:c r="B382" s="8" t="str">
        <x:v>SRC_0072</x:v>
      </x:c>
      <x:c r="C382" s="8" t="str">
        <x:v>Pelmadulla_Kahawatta_E.pdf</x:v>
      </x:c>
      <x:c r="D382" s="18" t="n">
        <x:v>217</x:v>
      </x:c>
      <x:c r="E382" s="8" t="str">
        <x:v>setbacks</x:v>
      </x:c>
      <x:c r="F382" s="8" t="str">
        <x:v>sible Maximum Plot Coverage As per Forms “B” and “E” mentioned in 8.2. Schedule II and III ix. Setbacks and Maximum height As per form “E” mentioned in 8.2. Schedule III Chapter 08 Zoning Guidelines Zoning Guidelines</x:v>
      </x:c>
      <x:c r="G382" s="8" t="str">
        <x:v>candidate_unreviewed</x:v>
      </x:c>
      <x:c r="H382" s="21" t="b">
        <x:v>0</x:v>
      </x:c>
      <x:c r="I382" s="8" t="str">
        <x:v>Keyword extraction only. Read page image and full context before promoting. English search cannot exclude Sinhala/Tamil or image-only content.</x:v>
      </x:c>
    </x:row>
    <x:row r="383" ht="196" customHeight="1">
      <x:c r="A383" s="11" t="str">
        <x:v>C00382</x:v>
      </x:c>
      <x:c r="B383" s="11" t="str">
        <x:v>SRC_0072</x:v>
      </x:c>
      <x:c r="C383" s="11" t="str">
        <x:v>Pelmadulla_Kahawatta_E.pdf</x:v>
      </x:c>
      <x:c r="D383" s="22" t="n">
        <x:v>219</x:v>
      </x:c>
      <x:c r="E383" s="11" t="str">
        <x:v>setbacks</x:v>
      </x:c>
      <x:c r="F383" s="11" t="str">
        <x:v>ible Maximum Plot Coverage As per Forms “B” and “E” mentioned in 8.2. Schedule II and III ix. Setbacks and Maximum height As per form “E” mentioned in 8.2. Schedule III x. Minimum land extent Subdivision Area 150 square meters (6 perches) xi. xi. Permissible uses Annexure 8.2 shall be as per Form “F” mentioned in Schedule IV xii. Common zoning guidelines i. In this zone, no mining activities other than gem mining activities are allowed and permission for gem mining activities is subject to a preliminary planning clearance (PPC) of the Urban Development Authority. Chapter 08 Zoning Guidelines</x:v>
      </x:c>
      <x:c r="G383" s="11" t="str">
        <x:v>candidate_unreviewed</x:v>
      </x:c>
      <x:c r="H383" s="24" t="b">
        <x:v>0</x:v>
      </x:c>
      <x:c r="I383" s="11" t="str">
        <x:v>Keyword extraction only. Read page image and full context before promoting. English search cannot exclude Sinhala/Tamil or image-only content.</x:v>
      </x:c>
    </x:row>
    <x:row r="384" ht="182" customHeight="1">
      <x:c r="A384" s="8" t="str">
        <x:v>C00383</x:v>
      </x:c>
      <x:c r="B384" s="8" t="str">
        <x:v>SRC_0072</x:v>
      </x:c>
      <x:c r="C384" s="8" t="str">
        <x:v>Pelmadulla_Kahawatta_E.pdf</x:v>
      </x:c>
      <x:c r="D384" s="18" t="n">
        <x:v>221</x:v>
      </x:c>
      <x:c r="E384" s="8" t="str">
        <x:v>setbacks</x:v>
      </x:c>
      <x:c r="F384" s="8" t="str">
        <x:v>sible Maximum Plot Coverage As per Forms “B” and “E” mentioned in 8.2. Schedule II and III ix. Setbacks and Maximum height As per form “E” mentioned in 8.2. Schedule III x. Minimum land extent for sub division MD1 MD2 Square Meter 150 ( 6 perch) Square Meter 250 (10 perch) xi. Permissible uses Annexure 8.2 shall be as per “F” forms mentioned in Schedule IV xii. Common zoning guidelines MD1 MD2 - i.Parking facilities for all development activities located within this zone, which get direct access through A class roads, must be provided within Chapter 08 Zoning Guidelines</x:v>
      </x:c>
      <x:c r="G384" s="8" t="str">
        <x:v>candidate_unreviewed</x:v>
      </x:c>
      <x:c r="H384" s="21" t="b">
        <x:v>0</x:v>
      </x:c>
      <x:c r="I384" s="8" t="str">
        <x:v>Keyword extraction only. Read page image and full context before promoting. English search cannot exclude Sinhala/Tamil or image-only content.</x:v>
      </x:c>
    </x:row>
    <x:row r="385" ht="98" customHeight="1">
      <x:c r="A385" s="11" t="str">
        <x:v>C00384</x:v>
      </x:c>
      <x:c r="B385" s="11" t="str">
        <x:v>SRC_0072</x:v>
      </x:c>
      <x:c r="C385" s="11" t="str">
        <x:v>Pelmadulla_Kahawatta_E.pdf</x:v>
      </x:c>
      <x:c r="D385" s="22" t="n">
        <x:v>223</x:v>
      </x:c>
      <x:c r="E385" s="11" t="str">
        <x:v>setbacks</x:v>
      </x:c>
      <x:c r="F385" s="11" t="str">
        <x:v>Permissible Maximum FAR/ Number of Floors - viii. Permissible Maximum Plot Coverage - ix. Setbacks and Maximum height - x. Minimum land extent Subdivision Area - xi. Permissible uses Annexure 8.2 shall be as per Form “F” mentioned in Schedule IV Chapter 08 Zoning Guidelines</x:v>
      </x:c>
      <x:c r="G385" s="11" t="str">
        <x:v>candidate_unreviewed</x:v>
      </x:c>
      <x:c r="H385" s="24" t="b">
        <x:v>0</x:v>
      </x:c>
      <x:c r="I385" s="11" t="str">
        <x:v>Keyword extraction only. Read page image and full context before promoting. English search cannot exclude Sinhala/Tamil or image-only content.</x:v>
      </x:c>
    </x:row>
    <x:row r="386" ht="196" customHeight="1">
      <x:c r="A386" s="8" t="str">
        <x:v>C00385</x:v>
      </x:c>
      <x:c r="B386" s="8" t="str">
        <x:v>SRC_0072</x:v>
      </x:c>
      <x:c r="C386" s="8" t="str">
        <x:v>Pelmadulla_Kahawatta_E.pdf</x:v>
      </x:c>
      <x:c r="D386" s="18" t="n">
        <x:v>225</x:v>
      </x:c>
      <x:c r="E386" s="8" t="str">
        <x:v>setbacks</x:v>
      </x:c>
      <x:c r="F386" s="8" t="str">
        <x:v>ible Maximum Plot Coverage As per Forms “B” and “E” mentioned in 8.2. Schedule II and III ix. Setbacks &amp; maximum height As per form “E” mentioned in 8.2. Schedule III x. Minimum land extent for sub division - xi. Permissible uses Annexure 8.2 shall be as per Form “F” mentioned in Schedule IV xii. General guidelines for the region Agricultural zone I Agricultural zone II i. All construction highlands of this zone must be subject to obtain a preliminary planning clearance from the Urban Development Authority ii. For all uses in this zone the guidelines and conditions mentioned in 8.1.2. are applicable - Chapter 08 Zoning Guidelines</x:v>
      </x:c>
      <x:c r="G386" s="8" t="str">
        <x:v>candidate_unreviewed</x:v>
      </x:c>
      <x:c r="H386" s="21" t="b">
        <x:v>0</x:v>
      </x:c>
      <x:c r="I386" s="8" t="str">
        <x:v>Keyword extraction only. Read page image and full context before promoting. English search cannot exclude Sinhala/Tamil or image-only content.</x:v>
      </x:c>
    </x:row>
    <x:row r="387" ht="224" customHeight="1">
      <x:c r="A387" s="11" t="str">
        <x:v>C00386</x:v>
      </x:c>
      <x:c r="B387" s="11" t="str">
        <x:v>SRC_0072</x:v>
      </x:c>
      <x:c r="C387" s="11" t="str">
        <x:v>Pelmadulla_Kahawatta_E.pdf</x:v>
      </x:c>
      <x:c r="D387" s="22" t="n">
        <x:v>226</x:v>
      </x:c>
      <x:c r="E387" s="11" t="str">
        <x:v>plot coverage</x:v>
      </x:c>
      <x:c r="F387" s="11" t="str">
        <x:v>es for conservation zone ● Drinking water supply projects ● Security booths, Ticket counters (Plot coverage should not more than 25 sq.m.), Sanitary facilities ● Eco tourism, adventure tourism ● Viewing decks, Camping Sites ● Environmental studies 8.1.2. Permissible uses for Agricultural Zone - I Permissible Uses Lowlands / paddy land Highlands ● Paddy fields ● Other agricultural plantations associated with wetlands ● Excavation (excavation of gems, clay, sand, soil and other minerals) carried out under the conditions of National Gem &amp; Jewellery Authority and Central Environment Authority and National Gem and Jewelry Authority subject to rehabilitation of informal land. ● Low impact eco-friendly tourism activities</x:v>
      </x:c>
      <x:c r="G387" s="11" t="str">
        <x:v>candidate_unreviewed</x:v>
      </x:c>
      <x:c r="H387" s="24" t="b">
        <x:v>0</x:v>
      </x:c>
      <x:c r="I387" s="11" t="str">
        <x:v>Keyword extraction only. Read page image and full context before promoting. English search cannot exclude Sinhala/Tamil or image-only content.</x:v>
      </x:c>
    </x:row>
    <x:row r="388" ht="210" customHeight="1">
      <x:c r="A388" s="8" t="str">
        <x:v>C00387</x:v>
      </x:c>
      <x:c r="B388" s="8" t="str">
        <x:v>SRC_0072</x:v>
      </x:c>
      <x:c r="C388" s="8" t="str">
        <x:v>Pelmadulla_Kahawatta_E.pdf</x:v>
      </x:c>
      <x:c r="D388" s="18" t="n">
        <x:v>230</x:v>
      </x:c>
      <x:c r="E388" s="8" t="str">
        <x:v>plot coverage</x:v>
      </x:c>
      <x:c r="F388" s="8" t="str">
        <x:v>21 8.2 Schedules Schedule I - "A" Format: Allowable rates of Plot coverage published by Urban Development Authority vide Gazette No. 2235/54 dated 08/07/2021 Land Extent (Sq.M.) Zone Factor = 0.50 - 0.74 Zone Factor = 1.00-1.24 Zone Factor = 1.50 - 1.74 Zone Factor = 2.00-2.24 Minimum Road Width Minimum Road Width Minimum Road Width Minimum Road Width **6m 9m 12m 15m or above **6m 9m 12m 15 m or above **6m 9m 12m 15 m or above **6m 9m 12m 15 m or above 50 less than 250 0.8 0.9 0.9 0.9 1.6 1.7 1.8 1.9 2.4 2.6 2.7 2.8 3.0 3.4 3.6 3.8 250 less than 375 0.9 1.0 1.2 1.3 1.8 2.2 2.4 2.7 2.6 3.2 3.6 4.0 3.2 3.6 4.5 4.5 375 less than 500 0.9 1.0 1.2 1.4 1.</x:v>
      </x:c>
      <x:c r="G388" s="8" t="str">
        <x:v>candidate_unreviewed</x:v>
      </x:c>
      <x:c r="H388" s="21" t="b">
        <x:v>0</x:v>
      </x:c>
      <x:c r="I388" s="8" t="str">
        <x:v>Keyword extraction only. Read page image and full context before promoting. English search cannot exclude Sinhala/Tamil or image-only content.</x:v>
      </x:c>
    </x:row>
    <x:row r="389" ht="490" customHeight="1">
      <x:c r="A389" s="11" t="str">
        <x:v>C00388</x:v>
      </x:c>
      <x:c r="B389" s="11" t="str">
        <x:v>SRC_0072</x:v>
      </x:c>
      <x:c r="C389" s="11" t="str">
        <x:v>Pelmadulla_Kahawatta_E.pdf</x:v>
      </x:c>
      <x:c r="D389" s="22" t="n">
        <x:v>231</x:v>
      </x:c>
      <x:c r="E389" s="11" t="str">
        <x:v>minimum width, plot coverage</x:v>
      </x:c>
      <x:c r="F389" s="11" t="str">
        <x:v>velopment Authority Gazette No. 2235/54 dated 07/08/2021 Floor numbers for 3- and 4.5-meter roads Minimum width of road Minimum width of the frontier Plot Coverage * Maximum Floors Zone Factor 0.5 - 0.74 Zone Factor 0.75 - 1.24 Zone Factor 1.25 - 3.49 Zone Factor 3.50 - 4.00 3.0 meter 6 meter 65% 1 (G) 2 (G+1) 3 (G+2) 3 (G+2) 4.5 meter 6 meter 65% 1 (G) 2 (G+1) 3 (G+2) 4 (G+3) The floor numbers are given above including parking spaces The sizes of housing units for each route will not change * In case no plot coverage percentages are specified under zonal regulations || tte No. 2235/54 dated 07/08/2021 Floor numbers for 3- and 4.5-meter roads Minimum width of road Minimum width of the frontier Plot Coverage * Maximum Floors Zone Factor 0.5 - 0.74 Zone Factor 0.75 - 1.24 Zone Factor 1.25 - 3.49 Zone Factor 3.50 - 4.00 3.0 meter 6 meter 65% 1 (G) 2 (G+1) 3 (G+2) 3 (G+2) 4.5 meter 6 meter 65% 1 (G) 2 (G+1) 3 (G+2) 4 (G+3) The floor numbers are given above including parking spaces The sizes of housing units for each route will not change * In case no plot coverage percentages are specified under zonal regulations || Floor numbers for 3- and 4.5-meter roads Minimum width of road Minimum width of the frontier Plot Coverage * Maximum Floors Zone Factor 0.5 - 0.74 Zone Factor 0.75 - 1.24 Zone Factor 1.25 - 3.49 Zone Factor 3.50 - 4.00 3.0 meter 6 meter 65% 1 (G) 2 (G+1) 3 (G+2) 3 (G+2) 4.5 meter 6 meter 65% 1 (G) 2 (G+1) 3 (G+2) 4 (G+3) The floor numbers are given above including parking spaces The sizes of housing units for each route will not change * In case no plot coverage percentages are specified under zonal regulations</x:v>
      </x:c>
      <x:c r="G389" s="11" t="str">
        <x:v>candidate_unreviewed</x:v>
      </x:c>
      <x:c r="H389" s="24" t="b">
        <x:v>0</x:v>
      </x:c>
      <x:c r="I389" s="11" t="str">
        <x:v>Keyword extraction only. Read page image and full context before promoting. English search cannot exclude Sinhala/Tamil or image-only content.</x:v>
      </x:c>
    </x:row>
    <x:row r="390" ht="322" customHeight="1">
      <x:c r="A390" s="8" t="str">
        <x:v>C00389</x:v>
      </x:c>
      <x:c r="B390" s="8" t="str">
        <x:v>SRC_0072</x:v>
      </x:c>
      <x:c r="C390" s="8" t="str">
        <x:v>Pelmadulla_Kahawatta_E.pdf</x:v>
      </x:c>
      <x:c r="D390" s="18" t="n">
        <x:v>232</x:v>
      </x:c>
      <x:c r="E390" s="8" t="str">
        <x:v>light and ventilation, plot coverage</x:v>
      </x:c>
      <x:c r="F390" s="8" t="str">
        <x:v>50%*** 50%*** 5.0 meter 6.0 meter 5.0 Meter both sides 6.0 Meter 6.0 Meter **** NLV – Natural Light and Ventilation Height of Building - Height from the level of the access road to the level of the top floor or the balcony (including parking floors). * In case no plot coverage percentages are specified under zonal regulations ** For purely non-residential development *** 20% of the building height or 65% coverage percentage can be provided for Podium floors with a minimum height of 12 floors. **** For every additional 3 meters of height, the minimum amount of floor area must increase by 1 squre meter || access road to the level of the top floor or the balcony (including parking floors). * In case no plot coverage percentages are specified under zonal regulations ** For purely non-residential development *** 20% of the building height or 65% coverage percentage can be provided for Podium floors with a minimum height of 12 floors. **** For every additional 3 meters of height, the minimum amount of floor area must increase by 1 squre meter</x:v>
      </x:c>
      <x:c r="G390" s="8" t="str">
        <x:v>candidate_unreviewed</x:v>
      </x:c>
      <x:c r="H390" s="21" t="b">
        <x:v>0</x:v>
      </x:c>
      <x:c r="I390" s="8" t="str">
        <x:v>Keyword extraction only. Read page image and full context before promoting. English search cannot exclude Sinhala/Tamil or image-only content.</x:v>
      </x:c>
    </x:row>
    <x:row r="391" ht="182" customHeight="1">
      <x:c r="A391" s="11" t="str">
        <x:v>C00390</x:v>
      </x:c>
      <x:c r="B391" s="11" t="str">
        <x:v>SRC_0072</x:v>
      </x:c>
      <x:c r="C391" s="11" t="str">
        <x:v>Pelmadulla_Kahawatta_E.pdf</x:v>
      </x:c>
      <x:c r="D391" s="22" t="n">
        <x:v>246</x:v>
      </x:c>
      <x:c r="E391" s="11" t="str">
        <x:v>plot coverage</x:v>
      </x:c>
      <x:c r="F391" s="11" t="str">
        <x:v>ycling centers 2000 Legend Permissible uses Non- Permissible Uses * Maximum plot coverage – 50 Square Meter ** Maximum plot coverage – 100 Square Meter M.P.S. - Minimum Plot Size When the minium plot size is not included in the given zones, the minimum plot size in column for is applicable. || missible uses Non- Permissible Uses * Maximum plot coverage – 50 Square Meter ** Maximum plot coverage – 100 Square Meter M.P.S. - Minimum Plot Size When the minium plot size is not included in the given zones, the minimum plot size in column for is applicable.</x:v>
      </x:c>
      <x:c r="G391" s="11" t="str">
        <x:v>candidate_unreviewed</x:v>
      </x:c>
      <x:c r="H391" s="24" t="b">
        <x:v>0</x:v>
      </x:c>
      <x:c r="I391" s="11" t="str">
        <x:v>Keyword extraction only. Read page image and full context before promoting. English search cannot exclude Sinhala/Tamil or image-only content.</x:v>
      </x:c>
    </x:row>
    <x:row r="392" ht="84" customHeight="1">
      <x:c r="A392" s="8" t="str">
        <x:v>C00391</x:v>
      </x:c>
      <x:c r="B392" s="8" t="str">
        <x:v>SRC_0073</x:v>
      </x:c>
      <x:c r="C392" s="8" t="str">
        <x:v>PolgahawelaE_2024_2033.pdf</x:v>
      </x:c>
      <x:c r="D392" s="18" t="n">
        <x:v>305</x:v>
      </x:c>
      <x:c r="E392" s="8" t="str">
        <x:v>minimum width</x:v>
      </x:c>
      <x:c r="F392" s="8" t="str">
        <x:v>or 500 square meters Source : Urban Development Authority , 202 *The minimum width of the road should be 06 meters and the building boundary should be 4.5 meters or more. ** Approved parking space for bicycles and motorcycles.</x:v>
      </x:c>
      <x:c r="G392" s="8" t="str">
        <x:v>candidate_unreviewed</x:v>
      </x:c>
      <x:c r="H392" s="21" t="b">
        <x:v>0</x:v>
      </x:c>
      <x:c r="I392" s="8" t="str">
        <x:v>Keyword extraction only. Read page image and full context before promoting. English search cannot exclude Sinhala/Tamil or image-only content.</x:v>
      </x:c>
    </x:row>
    <x:row r="393" ht="224" customHeight="1">
      <x:c r="A393" s="11" t="str">
        <x:v>C00392</x:v>
      </x:c>
      <x:c r="B393" s="11" t="str">
        <x:v>SRC_0074</x:v>
      </x:c>
      <x:c r="C393" s="11" t="str">
        <x:v>Polonnaruwa Development Plan - English.pdf</x:v>
      </x:c>
      <x:c r="D393" s="22" t="n">
        <x:v>148</x:v>
      </x:c>
      <x:c r="E393" s="11" t="str">
        <x:v>minimum width</x:v>
      </x:c>
      <x:c r="F393" s="11" t="str">
        <x:v>bridge near Gallella on the A11 road obstructs monotonous traffic. (Figure 6.23) This bridge has a minimum width of approximately 5 m, allowing only one long vehicle at a time. Therefore, it is a reason to increase traffic on the A11 road during peak hours. According to accident reports, a large number of accidents have been reported on this bridge, mostly at night. A bridge widening strategy has been identified to overcome this situation. Figure 6.22: Proposed Kaduruwela alternative road and 03 parking spaces Source: Google Earth 2018 Photos. Figure 6.23: Gallella Narrow Bridge Source: field survey ‘District Office, Polonnaruwa - UDA 1 2 2 Chapter 06 The Plan Strategies Social and physical infrastruc- ture</x:v>
      </x:c>
      <x:c r="G393" s="11" t="str">
        <x:v>candidate_unreviewed</x:v>
      </x:c>
      <x:c r="H393" s="24" t="b">
        <x:v>0</x:v>
      </x:c>
      <x:c r="I393" s="11" t="str">
        <x:v>Keyword extraction only. Read page image and full context before promoting. English search cannot exclude Sinhala/Tamil or image-only content.</x:v>
      </x:c>
    </x:row>
    <x:row r="394" ht="168" customHeight="1">
      <x:c r="A394" s="8" t="str">
        <x:v>C00393</x:v>
      </x:c>
      <x:c r="B394" s="8" t="str">
        <x:v>SRC_0074</x:v>
      </x:c>
      <x:c r="C394" s="8" t="str">
        <x:v>Polonnaruwa Development Plan - English.pdf</x:v>
      </x:c>
      <x:c r="D394" s="18" t="n">
        <x:v>240</x:v>
      </x:c>
      <x:c r="E394" s="8" t="str">
        <x:v>plot coverage</x:v>
      </x:c>
      <x:c r="F394" s="8" t="str">
        <x:v>Guidelines for commercial zone Zoning Boundary Annxeture 6.4 &amp; annexture 7.4 Zone Factor 2 Maximum Plot Coverage Commercial - 80% Residential - 66% Minimum land extent 150 Sq.m. Other Details • Kanduruwela Commercial Zone Guide Plan has been prepared and regulations related to construction have been noted separately in the 4 separate zones. • The maximum extent of land that can be acquired for permitted uses will be determined as per form “A” of Schedule 1 in Chapter 7. Chapter 8 The zoning guidelines Commercial Zone</x:v>
      </x:c>
      <x:c r="G394" s="8" t="str">
        <x:v>candidate_unreviewed</x:v>
      </x:c>
      <x:c r="H394" s="21" t="b">
        <x:v>0</x:v>
      </x:c>
      <x:c r="I394" s="8" t="str">
        <x:v>Keyword extraction only. Read page image and full context before promoting. English search cannot exclude Sinhala/Tamil or image-only content.</x:v>
      </x:c>
    </x:row>
    <x:row r="395" ht="224" customHeight="1">
      <x:c r="A395" s="11" t="str">
        <x:v>C00394</x:v>
      </x:c>
      <x:c r="B395" s="11" t="str">
        <x:v>SRC_0074</x:v>
      </x:c>
      <x:c r="C395" s="11" t="str">
        <x:v>Polonnaruwa Development Plan - English.pdf</x:v>
      </x:c>
      <x:c r="D395" s="22" t="n">
        <x:v>245</x:v>
      </x:c>
      <x:c r="E395" s="11" t="str">
        <x:v>plot coverage</x:v>
      </x:c>
      <x:c r="F395" s="11" t="str">
        <x:v>ines for Administrative zone Zoning Boundary Annexure 6.1 and annexture 7.1 Zone Factor 1.5 Maximum Plot Coverage Commercial 80% and Other 66% Minimum land extent 250Sq. M. Other Details • Maximum land area available for permitted uses will be determined by Schedule 01 at Chapter 7. 8.2.2. Permitted uses for Administrative zone Permitted uses Minimum Land extent (Sq.M.) Residential Houses 250 Hostels 250 Official quarters / staff quarters 250 Homes for the Elderly / Homes for the Disables 500 Childrens homes 500 Daycare centers 300 Helth Hospitels 1,000 Medical centers 250 Medical Consulting Institutions 500 Laboratory and sample collection centers 250 Child and meternity care centers 250 Veterinary Hospital 250</x:v>
      </x:c>
      <x:c r="G395" s="11" t="str">
        <x:v>candidate_unreviewed</x:v>
      </x:c>
      <x:c r="H395" s="24" t="b">
        <x:v>0</x:v>
      </x:c>
      <x:c r="I395" s="11" t="str">
        <x:v>Keyword extraction only. Read page image and full context before promoting. English search cannot exclude Sinhala/Tamil or image-only content.</x:v>
      </x:c>
    </x:row>
    <x:row r="396" ht="238" customHeight="1">
      <x:c r="A396" s="8" t="str">
        <x:v>C00395</x:v>
      </x:c>
      <x:c r="B396" s="8" t="str">
        <x:v>SRC_0074</x:v>
      </x:c>
      <x:c r="C396" s="8" t="str">
        <x:v>Polonnaruwa Development Plan - English.pdf</x:v>
      </x:c>
      <x:c r="D396" s="18" t="n">
        <x:v>250</x:v>
      </x:c>
      <x:c r="E396" s="8" t="str">
        <x:v>plot coverage</x:v>
      </x:c>
      <x:c r="F396" s="8" t="str">
        <x:v>delines for Industrial zone Zoning Boundary Annexture 6.6 and annexture 7.7 Zone Factor 1.5 Maximum Plot Coverage commercial 80% other 66% Minimum land extent 1000 Sq. m Other Details • The maximum extent of land that can be acquired for permitted uses will be determined in accordance with Annexure 1 in Chapter 07. Permitted uses A) The following uses are permitted in this zone. 1. Industry and industry related products (B) The following uses may also be permitted if the Authority is satisfied within this zone. 1. Filling stations and service stations 2. Use of telephone facilities 3. Aquariums and Nurseries 4. Quarrying and other related industries Other matters 1. Existing practices in this Zone may be permitted to continue as they are, an</x:v>
      </x:c>
      <x:c r="G396" s="8" t="str">
        <x:v>candidate_unreviewed</x:v>
      </x:c>
      <x:c r="H396" s="21" t="b">
        <x:v>0</x:v>
      </x:c>
      <x:c r="I396" s="8" t="str">
        <x:v>Keyword extraction only. Read page image and full context before promoting. English search cannot exclude Sinhala/Tamil or image-only content.</x:v>
      </x:c>
    </x:row>
    <x:row r="397" ht="224" customHeight="1">
      <x:c r="A397" s="11" t="str">
        <x:v>C00396</x:v>
      </x:c>
      <x:c r="B397" s="11" t="str">
        <x:v>SRC_0074</x:v>
      </x:c>
      <x:c r="C397" s="11" t="str">
        <x:v>Polonnaruwa Development Plan - English.pdf</x:v>
      </x:c>
      <x:c r="D397" s="22" t="n">
        <x:v>252</x:v>
      </x:c>
      <x:c r="E397" s="11" t="str">
        <x:v>plot coverage</x:v>
      </x:c>
      <x:c r="F397" s="11" t="str">
        <x:v>Guidelines for Tourism zone Zoning Boundary Annexure 6.7 and annexture 7.7 Zone Factor 1.5 Maximum Plot Coverage Commercial 80% Other 66% Minimum land extent 250 square meters Other Details • The maximum extent of land that can be acquired for permitted uses will be determined in accordance with Schedule 1 of chapter 7. Permitted uses Minimum land extent (Sq.m.) Residential Housing units 250 Hostels 250 Official quarters / staff quarters 250 Elders Homes/ Disabled Homes 500 Childrens Homes 500 Daycare centers 300 Helth Hospitels 1,000 Medical centers 250 Medical Consulting Institutions 500 Laboratory and sample collection centers 250 Child and meternity clinics 250 Veterinary Hospital 250 Veterinary Clinics and</x:v>
      </x:c>
      <x:c r="G397" s="11" t="str">
        <x:v>candidate_unreviewed</x:v>
      </x:c>
      <x:c r="H397" s="24" t="b">
        <x:v>0</x:v>
      </x:c>
      <x:c r="I397" s="11" t="str">
        <x:v>Keyword extraction only. Read page image and full context before promoting. English search cannot exclude Sinhala/Tamil or image-only content.</x:v>
      </x:c>
    </x:row>
    <x:row r="398" ht="224" customHeight="1">
      <x:c r="A398" s="8" t="str">
        <x:v>C00397</x:v>
      </x:c>
      <x:c r="B398" s="8" t="str">
        <x:v>SRC_0074</x:v>
      </x:c>
      <x:c r="C398" s="8" t="str">
        <x:v>Polonnaruwa Development Plan - English.pdf</x:v>
      </x:c>
      <x:c r="D398" s="18" t="n">
        <x:v>257</x:v>
      </x:c>
      <x:c r="E398" s="8" t="str">
        <x:v>plot coverage</x:v>
      </x:c>
      <x:c r="F398" s="8" t="str">
        <x:v>nes for residential zone 1 Zoning Boundary Annexure 6.12 and Annexure 7.10 Zone Factor 1.5 Maximum Plot Coverage Commecial 80 % Other 66% Minimum land extent With provision to piped water facility = 150 square meters No provision to piped water facility = 250 square meters Other Details • Maximum extent of land that can be acquired for permitted uses will be determined as per Schedule 1 of chapter 7. 8.5.2 Permitted uses for residential zone 1 Permitted uses Minimum land extent (Sq.m) Residential Housing units 250 Hostels 250 Official quarters / staff quarters 250 Elders Homes/ Disabled Homes 500 Childrens Homes 500 Daycare centers 300 Helth Hospitels 1,000 Medical centers 250 Medical Consulting Institutions 500 Laborato</x:v>
      </x:c>
      <x:c r="G398" s="8" t="str">
        <x:v>candidate_unreviewed</x:v>
      </x:c>
      <x:c r="H398" s="21" t="b">
        <x:v>0</x:v>
      </x:c>
      <x:c r="I398" s="8" t="str">
        <x:v>Keyword extraction only. Read page image and full context before promoting. English search cannot exclude Sinhala/Tamil or image-only content.</x:v>
      </x:c>
    </x:row>
    <x:row r="399" ht="238" customHeight="1">
      <x:c r="A399" s="11" t="str">
        <x:v>C00398</x:v>
      </x:c>
      <x:c r="B399" s="11" t="str">
        <x:v>SRC_0074</x:v>
      </x:c>
      <x:c r="C399" s="11" t="str">
        <x:v>Polonnaruwa Development Plan - English.pdf</x:v>
      </x:c>
      <x:c r="D399" s="22" t="n">
        <x:v>262</x:v>
      </x:c>
      <x:c r="E399" s="11" t="str">
        <x:v>plot coverage</x:v>
      </x:c>
      <x:c r="F399" s="11" t="str">
        <x:v>ted 8.6.1 Guidelines for Residential zone 2 Zoning Boundary Annexure 6.13 Zone Factor 1.5 Maximum Plot Coverage Commercial 80 % Other 66% Minimum land extent 250 Sq. M. (Excluding paddy lands) Other Matters • The maximum extent of land available for permitted use will be determined in accordance with Schedule 1 of chapter 7. • Paddy lands in this zone are protected in such manner and only on the recommendation of the Agrarian Services Development Department, paddy lands are recommended only for other permissible purposes mentioned in Chapter 7 General Regulation 7.4.41 • Regarding the high lands available in this region 8.6.2. The permitted uses mentioned will be considered. • Residential and tourist uses will be permitted for high lands</x:v>
      </x:c>
      <x:c r="G399" s="11" t="str">
        <x:v>candidate_unreviewed</x:v>
      </x:c>
      <x:c r="H399" s="24" t="b">
        <x:v>0</x:v>
      </x:c>
      <x:c r="I399" s="11" t="str">
        <x:v>Keyword extraction only. Read page image and full context before promoting. English search cannot exclude Sinhala/Tamil or image-only content.</x:v>
      </x:c>
    </x:row>
    <x:row r="400" ht="210" customHeight="1">
      <x:c r="A400" s="8" t="str">
        <x:v>C00399</x:v>
      </x:c>
      <x:c r="B400" s="8" t="str">
        <x:v>SRC_0074</x:v>
      </x:c>
      <x:c r="C400" s="8" t="str">
        <x:v>Polonnaruwa Development Plan - English.pdf</x:v>
      </x:c>
      <x:c r="D400" s="18" t="n">
        <x:v>268</x:v>
      </x:c>
      <x:c r="E400" s="8" t="str">
        <x:v>plot coverage</x:v>
      </x:c>
      <x:c r="F400" s="8" t="str">
        <x:v>s for Health service zone Zoning Boundary Annexture 6.8 and annexture 7.6 Zone Factor 1.75 Maximum Plot Coverage Commercial 80 % Other 66% Minimum land extent With provision to piped water facility = 150 square meters No provision to piped water facility = 250 square meters Other Details • The maximum land area that can be acquired for permitted uses will be determined as per Schedule 1of Chapter 7. • If the Authority is satisfied, it may consider allowing any use in this Zone that is not specifically mentioned in the permissible and permitted uses in this Zone, but in any of the permitted uses in another Zone. Chapter 8 The zoning guidelines Health Services Zone</x:v>
      </x:c>
      <x:c r="G400" s="8" t="str">
        <x:v>candidate_unreviewed</x:v>
      </x:c>
      <x:c r="H400" s="21" t="b">
        <x:v>0</x:v>
      </x:c>
      <x:c r="I400" s="8" t="str">
        <x:v>Keyword extraction only. Read page image and full context before promoting. English search cannot exclude Sinhala/Tamil or image-only content.</x:v>
      </x:c>
    </x:row>
    <x:row r="401" ht="238" customHeight="1">
      <x:c r="A401" s="11" t="str">
        <x:v>C00400</x:v>
      </x:c>
      <x:c r="B401" s="11" t="str">
        <x:v>SRC_0074</x:v>
      </x:c>
      <x:c r="C401" s="11" t="str">
        <x:v>Polonnaruwa Development Plan - English.pdf</x:v>
      </x:c>
      <x:c r="D401" s="22" t="n">
        <x:v>273</x:v>
      </x:c>
      <x:c r="E401" s="11" t="str">
        <x:v>plot coverage</x:v>
      </x:c>
      <x:c r="F401" s="11" t="str">
        <x:v>Training Institutional zone Zoning Boundary Annexure 6.9 and annexture 7.12 Zone Factor 1 Maximum Plot Coverage Commercial 80 Other 66% Minimum land extent 1000 Sq.m. for instirutions and 150 sq.m for comer- cial servises Other Details about the zone • The maximum land area that can be acquired for permitted uses will be determined as per Schedule 1 in Chapter 07. • Training centers related to any type of human training and development work will be allowed to be maintained at the national and local levels. • If the Authority is satisfied, it may consider any use in this Zone which is not specifically specified in the permissible and permitted uses in this Zone, and which is permitted in any other zone. Chapter 8 The zoning guidelines Educat</x:v>
      </x:c>
      <x:c r="G401" s="11" t="str">
        <x:v>candidate_unreviewed</x:v>
      </x:c>
      <x:c r="H401" s="24" t="b">
        <x:v>0</x:v>
      </x:c>
      <x:c r="I401" s="11" t="str">
        <x:v>Keyword extraction only. Read page image and full context before promoting. English search cannot exclude Sinhala/Tamil or image-only content.</x:v>
      </x:c>
    </x:row>
    <x:row r="402" ht="224" customHeight="1">
      <x:c r="A402" s="8" t="str">
        <x:v>C00401</x:v>
      </x:c>
      <x:c r="B402" s="8" t="str">
        <x:v>SRC_0074</x:v>
      </x:c>
      <x:c r="C402" s="8" t="str">
        <x:v>Polonnaruwa Development Plan - English.pdf</x:v>
      </x:c>
      <x:c r="D402" s="18" t="n">
        <x:v>276</x:v>
      </x:c>
      <x:c r="E402" s="8" t="str">
        <x:v>plot coverage</x:v>
      </x:c>
      <x:c r="F402" s="8" t="str">
        <x:v>Mixed development zone 1. Zoning Boundary Annexure 6.10 and annexture 7.8 Zone Factor 1.75 Maximum Plot Coverage Commecial 80 % Other 66% Minimum land extent 150 Sq.M. Other Details about the zone The maximum extent of land available for permitted uses will be determined in accordance with Schedule 1of Chapter 7. 8.9.2. Permittable uses for Mixed development zone Permisable uses Minimum land extent(Sq.M.) Residentials Housing units 150 Hostels 150 Official quarters / staff quarters 150 Elders Homes/ Disabled Homes 500 Childrens Homes 500 Daycare centers 300 Helth Hospitels 1,000 Medical centers 150 Medical Consulting Institutions 150 Laboratory and sample collection centers 150 Child and meternity clinics 150 Veter</x:v>
      </x:c>
      <x:c r="G402" s="8" t="str">
        <x:v>candidate_unreviewed</x:v>
      </x:c>
      <x:c r="H402" s="21" t="b">
        <x:v>0</x:v>
      </x:c>
      <x:c r="I402" s="8" t="str">
        <x:v>Keyword extraction only. Read page image and full context before promoting. English search cannot exclude Sinhala/Tamil or image-only content.</x:v>
      </x:c>
    </x:row>
    <x:row r="403" ht="224" customHeight="1">
      <x:c r="A403" s="11" t="str">
        <x:v>C00402</x:v>
      </x:c>
      <x:c r="B403" s="11" t="str">
        <x:v>SRC_0074</x:v>
      </x:c>
      <x:c r="C403" s="11" t="str">
        <x:v>Polonnaruwa Development Plan - English.pdf</x:v>
      </x:c>
      <x:c r="D403" s="22" t="n">
        <x:v>281</x:v>
      </x:c>
      <x:c r="E403" s="11" t="str">
        <x:v>plot coverage</x:v>
      </x:c>
      <x:c r="F403" s="11" t="str">
        <x:v>r Mixed Development zone 2 Zoning Boundary Annexure 6.11 and annexture 7.9 Zone Factor 1.5 Maximum Plot Coverage Commercial 80% Other 66% Minimum land extent 150 Sq.m. Other Details • The maximum land area that can be achieved for permitted uses will be determined as per Schedule 1of Chapter 7. • If the Authority is satisfied, it may consider any use in this Zone which is not specifically mentioned in the permissible practices in this Zone and not specifically mentioned in the non permissable Uses. • As it is adjacent to the Ecologically Sensitive Zone, preliminary planning clearence should be obtained for industrial and commercial approval Chapter 8 The zoning guidelines Mixed development zone 2</x:v>
      </x:c>
      <x:c r="G403" s="11" t="str">
        <x:v>candidate_unreviewed</x:v>
      </x:c>
      <x:c r="H403" s="24" t="b">
        <x:v>0</x:v>
      </x:c>
      <x:c r="I403" s="11" t="str">
        <x:v>Keyword extraction only. Read page image and full context before promoting. English search cannot exclude Sinhala/Tamil or image-only content.</x:v>
      </x:c>
    </x:row>
    <x:row r="404" ht="224" customHeight="1">
      <x:c r="A404" s="8" t="str">
        <x:v>C00403</x:v>
      </x:c>
      <x:c r="B404" s="8" t="str">
        <x:v>SRC_0074</x:v>
      </x:c>
      <x:c r="C404" s="8" t="str">
        <x:v>Polonnaruwa Development Plan - English.pdf</x:v>
      </x:c>
      <x:c r="D404" s="18" t="n">
        <x:v>286</x:v>
      </x:c>
      <x:c r="E404" s="8" t="str">
        <x:v>plot coverage</x:v>
      </x:c>
      <x:c r="F404" s="8" t="str">
        <x:v>y Annexure 6.2 and annexture 7.2 Zone Factor The zone facter does not apply to this region. Maximum Plot Coverage Not apply. Minimum land extent Not apply. Other Details Measures and constructions will be implemented in this zone in accordance with the pilot instructions of the Regional Development Plan which will be implemented in due course for the area designated as "Polonnaruwa Sacred Area Plan" by the Department of National Physical Planning. 8.11.2. Permitted uses for Archaeological Conservation Zone Permitted uses 1. Preservation of historical ruins, maintenance work and development activities carried out with the recommendation of the Department of Archeology are permitted. 2. The Authority may consider approving the developm</x:v>
      </x:c>
      <x:c r="G404" s="8" t="str">
        <x:v>candidate_unreviewed</x:v>
      </x:c>
      <x:c r="H404" s="21" t="b">
        <x:v>0</x:v>
      </x:c>
      <x:c r="I404" s="8" t="str">
        <x:v>Keyword extraction only. Read page image and full context before promoting. English search cannot exclude Sinhala/Tamil or image-only content.</x:v>
      </x:c>
    </x:row>
    <x:row r="405" ht="238" customHeight="1">
      <x:c r="A405" s="11" t="str">
        <x:v>C00404</x:v>
      </x:c>
      <x:c r="B405" s="11" t="str">
        <x:v>SRC_0074</x:v>
      </x:c>
      <x:c r="C405" s="11" t="str">
        <x:v>Polonnaruwa Development Plan - English.pdf</x:v>
      </x:c>
      <x:c r="D405" s="22" t="n">
        <x:v>288</x:v>
      </x:c>
      <x:c r="E405" s="11" t="str">
        <x:v>plot coverage</x:v>
      </x:c>
      <x:c r="F405" s="11" t="str">
        <x:v>logical Conservation Zone 2 Zoning Boundary Annexure 6.3 and annexture 7.3 Zone Factor 1.75 Maximum Plot Coverage Commecial 80% Other 66% Minimum land extent 150 Sq.M. Other Details • This zone is subject to the specific provisions of common Regulation 7.4.44 and 7.4.45 . • The maximum extent of land available for permitted uses will be as per Schedule 1of chapter 7. • It is expected to develop this zone as the main area that reflects the future vision stated in the Polonnaruwa Urban Development Plan. • It is mandatory to obtain the recommendations of the Department of Archeology in these development activities in order to carry out the necessary developments to promote the tourist attraction in this zone. Chapter 8 The zoning guidelin</x:v>
      </x:c>
      <x:c r="G405" s="11" t="str">
        <x:v>candidate_unreviewed</x:v>
      </x:c>
      <x:c r="H405" s="24" t="b">
        <x:v>0</x:v>
      </x:c>
      <x:c r="I405" s="11" t="str">
        <x:v>Keyword extraction only. Read page image and full context before promoting. English search cannot exclude Sinhala/Tamil or image-only content.</x:v>
      </x:c>
    </x:row>
    <x:row r="406" ht="238" customHeight="1">
      <x:c r="A406" s="8" t="str">
        <x:v>C00405</x:v>
      </x:c>
      <x:c r="B406" s="8" t="str">
        <x:v>SRC_0074</x:v>
      </x:c>
      <x:c r="C406" s="8" t="str">
        <x:v>Polonnaruwa Development Plan - English.pdf</x:v>
      </x:c>
      <x:c r="D406" s="18" t="n">
        <x:v>293</x:v>
      </x:c>
      <x:c r="E406" s="8" t="str">
        <x:v>plot coverage</x:v>
      </x:c>
      <x:c r="F406" s="8" t="str">
        <x:v>y Annexure 6.5 and annexture 7.5 Zone Factor The zone facter does not apply to this region Maximum Plot Coverage - Minimum land extent - Other Details • Uses that do not fit into the existing zone in this protected area will be removed. • Conditions applicable to the implementation of approved practices are described under comman regulations of chapter 7 section 7.4.41 and 7.4.43 8.13.2 Permitted uses for Environmentally sensitive zone Permitted uses a. Eco-tourism b. Drinking water supply projects and related projects c. Permission is granted for sand mining in the Mahaweli River and therefore the recommendations of the relevant institutions and departments should be obtained. d. Wetland Natural Gardens e. Eco-friendly restaurants - n</x:v>
      </x:c>
      <x:c r="G406" s="8" t="str">
        <x:v>candidate_unreviewed</x:v>
      </x:c>
      <x:c r="H406" s="21" t="b">
        <x:v>0</x:v>
      </x:c>
      <x:c r="I406" s="8" t="str">
        <x:v>Keyword extraction only. Read page image and full context before promoting. English search cannot exclude Sinhala/Tamil or image-only content.</x:v>
      </x:c>
    </x:row>
    <x:row r="407" ht="84" customHeight="1">
      <x:c r="A407" s="11" t="str">
        <x:v>C00406</x:v>
      </x:c>
      <x:c r="B407" s="11" t="str">
        <x:v>SRC_0074</x:v>
      </x:c>
      <x:c r="C407" s="11" t="str">
        <x:v>Polonnaruwa Development Plan - English.pdf</x:v>
      </x:c>
      <x:c r="D407" s="22" t="n">
        <x:v>301</x:v>
      </x:c>
      <x:c r="E407" s="11" t="str">
        <x:v>staircase</x:v>
      </x:c>
      <x:c r="F407" s="11" t="str">
        <x:v>mples of front 50% green landscape design Cement Clay Tiles Wood Figure 9.5: Examples for front staircase design Chapter 9 Development guide plan and guidelines Archaeological Conservation Zone 02 Development guideline design example for the area</x:v>
      </x:c>
      <x:c r="G407" s="11" t="str">
        <x:v>candidate_unreviewed</x:v>
      </x:c>
      <x:c r="H407" s="24" t="b">
        <x:v>0</x:v>
      </x:c>
      <x:c r="I407" s="11" t="str">
        <x:v>Keyword extraction only. Read page image and full context before promoting. English search cannot exclude Sinhala/Tamil or image-only content.</x:v>
      </x:c>
    </x:row>
    <x:row r="408" ht="238" customHeight="1">
      <x:c r="A408" s="8" t="str">
        <x:v>C00407</x:v>
      </x:c>
      <x:c r="B408" s="8" t="str">
        <x:v>SRC_0074</x:v>
      </x:c>
      <x:c r="C408" s="8" t="str">
        <x:v>Polonnaruwa Development Plan - English.pdf</x:v>
      </x:c>
      <x:c r="D408" s="18" t="n">
        <x:v>325</x:v>
      </x:c>
      <x:c r="E408" s="8" t="str">
        <x:v>bedroom</x:v>
      </x:c>
      <x:c r="F408" s="8" t="str">
        <x:v>1.2 Definitions for Permitted Uses in Zones Use definition Use definition Residential Housing units Bedroom, Catering and Sanitation Facilities for Independent Living Interior Complex Unit Room or Room Class Building or Part of Building Housing complex Buildings with a horizontal or vertical extension of a unit or group of units located in a permanent public domain Hostels Buildings with a vertical or horizontal extension that provide residential facilities for a limited time Official quarters / staff quarters Buildings with a vertical or horizontal extension that provide residential facilities attached to a particular workplace Homes for the Elderly / Disabled Buildings with a horizontal or vertical project with basic residential facili</x:v>
      </x:c>
      <x:c r="G408" s="8" t="str">
        <x:v>candidate_unreviewed</x:v>
      </x:c>
      <x:c r="H408" s="21" t="b">
        <x:v>0</x:v>
      </x:c>
      <x:c r="I408" s="8" t="str">
        <x:v>Keyword extraction only. Read page image and full context before promoting. English search cannot exclude Sinhala/Tamil or image-only content.</x:v>
      </x:c>
    </x:row>
    <x:row r="409" ht="70" customHeight="1">
      <x:c r="A409" s="11" t="str">
        <x:v>C00408</x:v>
      </x:c>
      <x:c r="B409" s="11" t="str">
        <x:v>SRC_0074</x:v>
      </x:c>
      <x:c r="C409" s="11" t="str">
        <x:v>Polonnaruwa Development Plan - English.pdf</x:v>
      </x:c>
      <x:c r="D409" s="22" t="n">
        <x:v>328</x:v>
      </x:c>
      <x:c r="E409" s="11" t="str">
        <x:v>bedroom</x:v>
      </x:c>
      <x:c r="F409" s="11" t="str">
        <x:v>with the Ayurveda Council Cabana Hotel A small unit accommodation with sanitary facilities and a bedroom for tourists using temporary or permanent raw materials for relaxation and recreation.</x:v>
      </x:c>
      <x:c r="G409" s="11" t="str">
        <x:v>candidate_unreviewed</x:v>
      </x:c>
      <x:c r="H409" s="24" t="b">
        <x:v>0</x:v>
      </x:c>
      <x:c r="I409" s="11" t="str">
        <x:v>Keyword extraction only. Read page image and full context before promoting. English search cannot exclude Sinhala/Tamil or image-only content.</x:v>
      </x:c>
    </x:row>
    <x:row r="410" ht="196" customHeight="1">
      <x:c r="A410" s="8" t="str">
        <x:v>C00409</x:v>
      </x:c>
      <x:c r="B410" s="8" t="str">
        <x:v>SRC_0074</x:v>
      </x:c>
      <x:c r="C410" s="8" t="str">
        <x:v>Polonnaruwa Development Plan - English.pdf</x:v>
      </x:c>
      <x:c r="D410" s="18" t="n">
        <x:v>350</x:v>
      </x:c>
      <x:c r="E410" s="8" t="str">
        <x:v>staircase</x:v>
      </x:c>
      <x:c r="F410" s="8" t="str">
        <x:v>gure 9.4 Roofing material examples for roof types 278 Figure 9.5 Design examples for front staircase 278 Figure 9.6 Design examples of front 50% green landscape 278 Figure 9.7 Designing examples for mobile shops, street lottery booths 279 Figure 9.8 Examples for front boundary walls 279 Figure 9.9 Examples of landscaping elements: A pond and a plant yard 280 Figure 9.10 Examples of the expected street view 280 Figure 9.11 Expected brown colour variant examples 281 Figure 9.12 Examples of desired defenses / boundary walls 285 Figure 9.13 Examples of expected irrigation canal and road 285 reserve landscaping</x:v>
      </x:c>
      <x:c r="G410" s="8" t="str">
        <x:v>candidate_unreviewed</x:v>
      </x:c>
      <x:c r="H410" s="21" t="b">
        <x:v>0</x:v>
      </x:c>
      <x:c r="I410" s="8" t="str">
        <x:v>Keyword extraction only. Read page image and full context before promoting. English search cannot exclude Sinhala/Tamil or image-only content.</x:v>
      </x:c>
    </x:row>
    <x:row r="411" ht="126" customHeight="1">
      <x:c r="A411" s="11" t="str">
        <x:v>C00410</x:v>
      </x:c>
      <x:c r="B411" s="11" t="str">
        <x:v>SRC_0075</x:v>
      </x:c>
      <x:c r="C411" s="11" t="str">
        <x:v>RabukkanaE.pdf</x:v>
      </x:c>
      <x:c r="D411" s="22" t="n">
        <x:v>202</x:v>
      </x:c>
      <x:c r="E411" s="11" t="str">
        <x:v>plot coverage</x:v>
      </x:c>
      <x:c r="F411" s="11" t="str">
        <x:v>of the land shall be counted for the permissible floor area ratio of the proposed development. But plot coverage shall be calculated according to the remaining land area except excluding the part within the street line/ Proposed road width. Chapter 07 Regulation for Land &amp; Building Development Strategy Common Zoning Regulations Applicable for Planning Area</x:v>
      </x:c>
      <x:c r="G411" s="11" t="str">
        <x:v>candidate_unreviewed</x:v>
      </x:c>
      <x:c r="H411" s="24" t="b">
        <x:v>0</x:v>
      </x:c>
      <x:c r="I411" s="11" t="str">
        <x:v>Keyword extraction only. Read page image and full context before promoting. English search cannot exclude Sinhala/Tamil or image-only content.</x:v>
      </x:c>
    </x:row>
    <x:row r="412" ht="238" customHeight="1">
      <x:c r="A412" s="8" t="str">
        <x:v>C00411</x:v>
      </x:c>
      <x:c r="B412" s="8" t="str">
        <x:v>SRC_0075</x:v>
      </x:c>
      <x:c r="C412" s="8" t="str">
        <x:v>RabukkanaE.pdf</x:v>
      </x:c>
      <x:c r="D412" s="18" t="n">
        <x:v>203</x:v>
      </x:c>
      <x:c r="E412" s="8" t="str">
        <x:v>minimum width</x:v>
      </x:c>
      <x:c r="F412" s="8" t="str">
        <x:v>vi. In cases where the development premises face more than one road having right of way with a minimum width of 6 m or more that and connected to the main roads independently, the calculation of the permissible development may be considered while considering the total width of the access roads on a case-by- case basis vii. In cases where any land belongs to two or more zones, the zone of the land shall determine by the zone that belongs to the main access road of the land. If the plot is accessed by two or more roads of the same width, the zone to which the majority of the plot belongs should be applied. * This regulation does not apply to conservation zones. viii. If a piece of land falls between two Local Authority areas, the Authori</x:v>
      </x:c>
      <x:c r="G412" s="8" t="str">
        <x:v>candidate_unreviewed</x:v>
      </x:c>
      <x:c r="H412" s="21" t="b">
        <x:v>0</x:v>
      </x:c>
      <x:c r="I412" s="8" t="str">
        <x:v>Keyword extraction only. Read page image and full context before promoting. English search cannot exclude Sinhala/Tamil or image-only content.</x:v>
      </x:c>
    </x:row>
    <x:row r="413" ht="448" customHeight="1">
      <x:c r="A413" s="11" t="str">
        <x:v>C00412</x:v>
      </x:c>
      <x:c r="B413" s="11" t="str">
        <x:v>SRC_0075</x:v>
      </x:c>
      <x:c r="C413" s="11" t="str">
        <x:v>RabukkanaE.pdf</x:v>
      </x:c>
      <x:c r="D413" s="22" t="n">
        <x:v>206</x:v>
      </x:c>
      <x:c r="E413" s="11" t="str">
        <x:v>plot coverage</x:v>
      </x:c>
      <x:c r="F413" s="11" t="str">
        <x:v>onal Building Research Organization, the higher of the two shall prevail. • In calculating the plot coverage percentage of a sloped land, the plot coverage percentage prescribed by the planning and development regulations and zoning regulations mentioned in the Extraordinary Gazette Notice No. 2235/54-2021 dated 03 July, and the plot coverage percentage prescribed by the National Building Research Organization, from above two values the lower of the values takes effect. xxvi. Building lines and proposed minimum road widths applicable to existing, footpaths, stairs and all roads within the pradeshiya sabha limits and reservation or building lines related to rivers and canals shall comply with Chapter 09. Also, reservation or building line || regulations mentioned in the Extraordinary Gazette Notice No. 2235/54-2021 dated 03 July, and the plot coverage percentage prescribed by the National Building Research Organization, from above two values the lower of the values takes effect. xxvi. Building lines and proposed minimum road widths applicable to existing, footpaths, stairs and all roads within the pradeshiya sabha limits and reservation or building lines related to rivers and canals shall comply with Chapter 09. Also, reservation or building lines related to rivers and canals should be maintained with suitable vegetation. xxvii. In carrying out a development work on a piece of land with a slope inclination, accessibility should be obtained by a step of 1.5 meters wide conside</x:v>
      </x:c>
      <x:c r="G413" s="11" t="str">
        <x:v>candidate_unreviewed</x:v>
      </x:c>
      <x:c r="H413" s="24" t="b">
        <x:v>0</x:v>
      </x:c>
      <x:c r="I413" s="11" t="str">
        <x:v>Keyword extraction only. Read page image and full context before promoting. English search cannot exclude Sinhala/Tamil or image-only content.</x:v>
      </x:c>
    </x:row>
    <x:row r="414" ht="238" customHeight="1">
      <x:c r="A414" s="8" t="str">
        <x:v>C00413</x:v>
      </x:c>
      <x:c r="B414" s="8" t="str">
        <x:v>SRC_0075</x:v>
      </x:c>
      <x:c r="C414" s="8" t="str">
        <x:v>RabukkanaE.pdf</x:v>
      </x:c>
      <x:c r="D414" s="18" t="n">
        <x:v>207</x:v>
      </x:c>
      <x:c r="E414" s="8" t="str">
        <x:v>setback</x:v>
      </x:c>
      <x:c r="F414" s="8" t="str">
        <x:v>lls or other such constructions are constructed on the said embankment, the construction should be setback a limit of 0.75 meters from the edge of the embankment. xxxii. Although the uses can be permitted through zoning, due to non-residential development carried out in residential areas, development activities leading to noise pollution/air pollution/groundwater or surface water pollution, as well as development activities that are to be incompatible with social conditions and complains will be raised from society itself, the granting of permission for development activities will be considered subject to a preliminary planning clearance. The authority has the power to impose conditions and the power to disallow permission for the regu</x:v>
      </x:c>
      <x:c r="G414" s="8" t="str">
        <x:v>candidate_unreviewed</x:v>
      </x:c>
      <x:c r="H414" s="21" t="b">
        <x:v>0</x:v>
      </x:c>
      <x:c r="I414" s="8" t="str">
        <x:v>Keyword extraction only. Read page image and full context before promoting. English search cannot exclude Sinhala/Tamil or image-only content.</x:v>
      </x:c>
    </x:row>
    <x:row r="415" ht="224" customHeight="1">
      <x:c r="A415" s="11" t="str">
        <x:v>C00414</x:v>
      </x:c>
      <x:c r="B415" s="11" t="str">
        <x:v>SRC_0075</x:v>
      </x:c>
      <x:c r="C415" s="11" t="str">
        <x:v>RabukkanaE.pdf</x:v>
      </x:c>
      <x:c r="D415" s="22" t="n">
        <x:v>209</x:v>
      </x:c>
      <x:c r="E415" s="11" t="str">
        <x:v>minimum width</x:v>
      </x:c>
      <x:c r="F415" s="11" t="str">
        <x:v>ed agency. • Specification of Steps 1 Width of Steps 1.8m 2 Maximum height of step 1.5m 3 Minimum width of step 0.30m 4 Maximum length of steps 300 m 5 Slope After every 20 steps (minimum 1.8m* 1m) xliii. Buildings in sloping areas should always be designed to conform to the existing natural slope. xliv. Except in the case of a boundary wall constructed by mutual consent of the owners of the lands on which a boundary wall is situated, the foundations of any building shall not extend beyond the boundary lines of the land on which the building is constructed. xlv. Any foundation work or related earthworks such as piling, earth compaction and excavation which may impose a load on the subject property or cause ground mov</x:v>
      </x:c>
      <x:c r="G415" s="11" t="str">
        <x:v>candidate_unreviewed</x:v>
      </x:c>
      <x:c r="H415" s="24" t="b">
        <x:v>0</x:v>
      </x:c>
      <x:c r="I415" s="11" t="str">
        <x:v>Keyword extraction only. Read page image and full context before promoting. English search cannot exclude Sinhala/Tamil or image-only content.</x:v>
      </x:c>
    </x:row>
    <x:row r="416" ht="224" customHeight="1">
      <x:c r="A416" s="8" t="str">
        <x:v>C00415</x:v>
      </x:c>
      <x:c r="B416" s="8" t="str">
        <x:v>SRC_0075</x:v>
      </x:c>
      <x:c r="C416" s="8" t="str">
        <x:v>RabukkanaE.pdf</x:v>
      </x:c>
      <x:c r="D416" s="18" t="n">
        <x:v>214</x:v>
      </x:c>
      <x:c r="E416" s="8" t="str">
        <x:v>plot coverage</x:v>
      </x:c>
      <x:c r="F416" s="8" t="str">
        <x:v>rmissible FAR/ Number of Floors As per the Forms “A” and “B” in Schedule I. Maximum Permissible Plot Coverage As per the Forms “B” and “E” in Schedule I. Set back and Maximum Height As per the Form “E” in Schedule I. If it falls within an identified visual point mentioned in Form “B” of Schedule II then the minimum height level will be considered. Minimum Land extent for Sub division 250 Sq.m Permissible uses As per the Schedule IV In addition to the above uses, in this zone, if the size of a plot of land facing the major roads of Colombo- Mahanuwara Road, Mawanella-Rambukkana Road, Narambedda Road, Dunukewala Road and Nilvakka- Rambukkana Road is 40 perches or more, Uses such as storage facilities, distribution centers, showroo</x:v>
      </x:c>
      <x:c r="G416" s="8" t="str">
        <x:v>candidate_unreviewed</x:v>
      </x:c>
      <x:c r="H416" s="21" t="b">
        <x:v>0</x:v>
      </x:c>
      <x:c r="I416" s="8" t="str">
        <x:v>Keyword extraction only. Read page image and full context before promoting. English search cannot exclude Sinhala/Tamil or image-only content.</x:v>
      </x:c>
    </x:row>
    <x:row r="417" ht="210" customHeight="1">
      <x:c r="A417" s="11" t="str">
        <x:v>C00416</x:v>
      </x:c>
      <x:c r="B417" s="11" t="str">
        <x:v>SRC_0075</x:v>
      </x:c>
      <x:c r="C417" s="11" t="str">
        <x:v>RabukkanaE.pdf</x:v>
      </x:c>
      <x:c r="D417" s="22" t="n">
        <x:v>227</x:v>
      </x:c>
      <x:c r="E417" s="11" t="str">
        <x:v>plot coverage</x:v>
      </x:c>
      <x:c r="F417" s="11" t="str">
        <x:v>Zone Factor 0 Maximum Permissible FAR/ Number of Floors Not Applicable Maximum Permissible Plot Coverage Not Applicable Set back and Maximum Height Not Applicable Minimum Land extent for Sub division Not Applicable Permissible uses (a).Only approved uses in accordance with the Agricultural Development Act can be carried out within the existing cultivated fields and fallow fields and related ancillary areas such as Deniya, Owita etc. (b) Wetland agriculture (c) Growing Epiphytes (d) Excavation activities (clay pits and earth excavations) carried out under the conditions of Geological Survey and Chapter 08 Zoning Regulations Agricultural Zone I</x:v>
      </x:c>
      <x:c r="G417" s="11" t="str">
        <x:v>candidate_unreviewed</x:v>
      </x:c>
      <x:c r="H417" s="24" t="b">
        <x:v>0</x:v>
      </x:c>
      <x:c r="I417" s="11" t="str">
        <x:v>Keyword extraction only. Read page image and full context before promoting. English search cannot exclude Sinhala/Tamil or image-only content.</x:v>
      </x:c>
    </x:row>
    <x:row r="418" ht="224" customHeight="1">
      <x:c r="A418" s="8" t="str">
        <x:v>C00417</x:v>
      </x:c>
      <x:c r="B418" s="8" t="str">
        <x:v>SRC_0075</x:v>
      </x:c>
      <x:c r="C418" s="8" t="str">
        <x:v>RabukkanaE.pdf</x:v>
      </x:c>
      <x:c r="D418" s="18" t="n">
        <x:v>289</x:v>
      </x:c>
      <x:c r="E418" s="8" t="str">
        <x:v>staircase</x:v>
      </x:c>
      <x:c r="F418" s="8" t="str">
        <x:v>ic roads maintained by the Pradeshiya Saba 4.5 Noted that: I. For a location adjacent to a staircase on any public footpath, the building line shall be not less than 2.0 meters from the center of the footpath. II. The road reserve applicable to the proposed railway lines will be determined as per the recommendations of the Railway Department and the building line shall be maintained at 9 meters from the boundary of the railway line. III. Apart from this, new roads or building lines on the said roads and amendments are made by the Urban Development Authority from time to time through a notice. IV. The building limit is calculated from the center line of the road on either side. Chapter 09</x:v>
      </x:c>
      <x:c r="G418" s="8" t="str">
        <x:v>candidate_unreviewed</x:v>
      </x:c>
      <x:c r="H418" s="21" t="b">
        <x:v>0</x:v>
      </x:c>
      <x:c r="I418" s="8" t="str">
        <x:v>Keyword extraction only. Read page image and full context before promoting. English search cannot exclude Sinhala/Tamil or image-only content.</x:v>
      </x:c>
    </x:row>
    <x:row r="419" ht="336" customHeight="1">
      <x:c r="A419" s="11" t="str">
        <x:v>C00418</x:v>
      </x:c>
      <x:c r="B419" s="11" t="str">
        <x:v>SRC_0075</x:v>
      </x:c>
      <x:c r="C419" s="11" t="str">
        <x:v>RabukkanaE.pdf</x:v>
      </x:c>
      <x:c r="D419" s="22" t="n">
        <x:v>295</x:v>
      </x:c>
      <x:c r="E419" s="11" t="str">
        <x:v>minimum width, plot coverage</x:v>
      </x:c>
      <x:c r="F419" s="11" t="str">
        <x:v>.2: Zone Factor related to the development zones Table 7.3 : percentage of the maximum Permissible plot coverage and percentage of floor area ratio depending on the slope of the land Table 7.4: Minimum permissible area and minimum width and depth of the lot depending on the slope of the land Table 8.1: Zoning Regulations in the High-Density Residential Zone Table 8.2: Zoning regulations in the medium density residential zone Table 8.3: Zoning regulations in the Low-Density Residential Zone Table 8.4: Zoning regulations in the High-Density Commercial Zone Table 8.5 : Zoning regulations in the Medium density commercial zone || ge of floor area ratio depending on the slope of the land Table 7.4: Minimum permissible area and minimum width and depth of the lot depending on the slope of the land Table 8.1: Zoning Regulations in the High-Density Residential Zone Table 8.2: Zoning regulations in the medium density residential zone Table 8.3: Zoning regulations in the Low-Density Residential Zone Table 8.4: Zoning regulations in the High-Density Commercial Zone Table 8.5 : Zoning regulations in the Medium density commercial zone</x:v>
      </x:c>
      <x:c r="G419" s="11" t="str">
        <x:v>candidate_unreviewed</x:v>
      </x:c>
      <x:c r="H419" s="24" t="b">
        <x:v>0</x:v>
      </x:c>
      <x:c r="I419" s="11" t="str">
        <x:v>Keyword extraction only. Read page image and full context before promoting. English search cannot exclude Sinhala/Tamil or image-only content.</x:v>
      </x:c>
    </x:row>
    <x:row r="420" ht="238" customHeight="1">
      <x:c r="A420" s="8" t="str">
        <x:v>C00419</x:v>
      </x:c>
      <x:c r="B420" s="8" t="str">
        <x:v>SRC_0076</x:v>
      </x:c>
      <x:c r="C420" s="8" t="str">
        <x:v>Rathnapura Development Plan - Englsih.pdf</x:v>
      </x:c>
      <x:c r="D420" s="18" t="n">
        <x:v>276</x:v>
      </x:c>
      <x:c r="E420" s="8" t="str">
        <x:v>staircase</x:v>
      </x:c>
      <x:c r="F420" s="8" t="str">
        <x:v>0. When carrying out development work on a sloping terrain, accessibility is considered from a 1 m staircase considering the topography. 7.4.21. B/ヰ/cvｶk/mﾆぞî#ﾆNヰNﾆN/ｿぞ#îｹｹN/)ぞvﾌﾆぞNmぞピvv)ぞｹNｿ`ギぞîｹ/îｿぞｿKvﾌc)ぞ"/ぞ#îｹｹN/)ぞvﾌﾆぞNmぞ accordance with the following guidelines. 7.4.21.1. ÙK/mぞ#vmｿﾆｹﾌ#ﾆNmEぞｹ/ｿN)/mﾆNîcぞ"ﾌNc)NmEｿぞNmぞピvv)ぞｹNｿ`ギぞîｹ/îｿぞ belonging to all zones, at least two storeys should be constructed or erected on poles or raising the foundation level, taking into account the location of the building. 7.4.21.2. &lt;vkk/ｹ#Nîcぞ"ﾌNc)NmEｿぞ#vmｿﾆｹﾌ#ﾆ/)ぞNmぞピvv)ぞｶｹvm/ぞîｹ/îｿぞヱNﾆKNmぞﾆK/ぞ commercial zone shall consist of at least two storeys. The construction vDぞヱîccｿぞNmぞﾆK/ぞEｹvﾌm)ぞピvvｹぞvDぞｿﾌ#Kぞ"ﾌNc)NmEｿぞｿKîccぞmvﾆぞ"/ぞｶ/ｹkNﾆﾆ/)ぞ and shall consist only of c</x:v>
      </x:c>
      <x:c r="G420" s="8" t="str">
        <x:v>candidate_unreviewed</x:v>
      </x:c>
      <x:c r="H420" s="21" t="b">
        <x:v>0</x:v>
      </x:c>
      <x:c r="I420" s="8" t="str">
        <x:v>Keyword extraction only. Read page image and full context before promoting. English search cannot exclude Sinhala/Tamil or image-only content.</x:v>
      </x:c>
    </x:row>
    <x:row r="421" ht="126" customHeight="1">
      <x:c r="A421" s="11" t="str">
        <x:v>C00420</x:v>
      </x:c>
      <x:c r="B421" s="11" t="str">
        <x:v>SRC_0076</x:v>
      </x:c>
      <x:c r="C421" s="11" t="str">
        <x:v>Rathnapura Development Plan - Englsih.pdf</x:v>
      </x:c>
      <x:c r="D421" s="22" t="n">
        <x:v>277</x:v>
      </x:c>
      <x:c r="E421" s="11" t="str">
        <x:v>plot coverage</x:v>
      </x:c>
      <x:c r="F421" s="11" t="str">
        <x:v>for that project and no other development work will be permitted. 7.4.24. Ground rate and approved plot coverage are not valid for those areas as no construction other than the proposed projects for the Forest Conservation Zone and Nature Conservation Zone will be permitted. Chapter 07 Development Zones &amp; General Zoning Guidelines General Zoning Guidelines for the Planning Area</x:v>
      </x:c>
      <x:c r="G421" s="11" t="str">
        <x:v>candidate_unreviewed</x:v>
      </x:c>
      <x:c r="H421" s="24" t="b">
        <x:v>0</x:v>
      </x:c>
      <x:c r="I421" s="11" t="str">
        <x:v>Keyword extraction only. Read page image and full context before promoting. English search cannot exclude Sinhala/Tamil or image-only content.</x:v>
      </x:c>
    </x:row>
    <x:row r="422" ht="644" customHeight="1">
      <x:c r="A422" s="8" t="str">
        <x:v>C00421</x:v>
      </x:c>
      <x:c r="B422" s="8" t="str">
        <x:v>SRC_0076</x:v>
      </x:c>
      <x:c r="C422" s="8" t="str">
        <x:v>Rathnapura Development Plan - Englsih.pdf</x:v>
      </x:c>
      <x:c r="D422" s="18" t="n">
        <x:v>278</x:v>
      </x:c>
      <x:c r="E422" s="8" t="str">
        <x:v>minimum width</x:v>
      </x:c>
      <x:c r="F422" s="8" t="str">
        <x:v>Factor = 1.75-1.99 Zone Factor = 2.00-2.24 Zone Factor = 2.25-2.49 Zone Factor = 2.50-2.74 Minimum Width of the Road Minimum Width of the Road Minimum Width of the Road Minimum Width of the Road Minimum Width of the Road Minimum Width of the Road Minimum Width of the Road Minimum Width of the Road 7m 9m 12m 15m or above 7m 9m 12m 15m or above 7m 9m 12m 15m or above 7m 9m 12m 15m or above 7m 9m 12m 15m or above 7m 9m 12m 15m or above 7m 9m 12m 15m or above 7m 9m 12m 15m or above 150 less than 250 1.3 1.3 1.4 1.4 1.6 1.7 1.8 1.9 2.0 2.2 2.3 2.4 2.4 2.6 2.7 2.8 2.8 3.0 3.2 3.3 3.0 3.4 3.6 3.8 3.0 3.4 3.6 4.0 3.0 3.4 3.6 4.0 250 less than 375 1.3 1.6 1.8 2.0 1.8 2.2 2.4 2.7 2.2 2.7 3.0 3.3 2.6 3.2 3.6 4.0 3.0 3.4 4.3 4.7 3.2 3.6 4.5 4.5 3 || actor = 2.00-2.24 Zone Factor = 2.25-2.49 Zone Factor = 2.50-2.74 Minimum Width of the Road Minimum Width of the Road Minimum Width of the Road Minimum Width of the Road Minimum Width of the Road Minimum Width of the Road Minimum Width of the Road Minimum Width of the Road 7m 9m 12m 15m or above 7m 9m 12m 15m or above 7m 9m 12m 15m or above 7m 9m 12m 15m or above 7m 9m 12m 15m or above 7m 9m 12m 15m or above 7m 9m 12m 15m or above 7m 9m 12m 15m or above 150 less than 250 1.3 1.3 1.4 1.4 1.6 1.7 1.8 1.9 2.0 2.2 2.3 2.4 2.4 2.6 2.7 2.8 2.8 3.0 3.2 3.3 3.0 3.4 3.6 3.8 3.0 3.4 3.6 4.0 3.0 3.4 3.6 4.0 250 less than 375 1.3 1.6 1.8 2.0 1.8 2.2 2.4 2.7 2.2 2.7 3.0 3.3 2.6 3.2 3.6 4.0 3.0 3.4 4.3 4.7 3.2 3.6 4.5 4.5 3.5 3.8 4.5 5.0 3.5 4.0 5.0 5 || ctor = 2.25-2.49 Zone Factor = 2.50-2.74 Minimum Width of the Road Minimum Width of the Road Minimum Width of the Road Minimum Width of the Road Minimum Width of the Road Minimum Width of the Road Minimum Width of the Road Minimum Width of the Road 7m 9m 12m 15m or above 7m 9m 12m 15m or above 7m 9m 12m 15m or above 7m 9m 12m 15m or above 7m 9m 12m 15m or above 7m 9m 12m 15m or above 7m 9m 12m 15m or above 7m 9m 12m 15m or above 150 less than 250 1.3 1.3 1.4 1.4 1.6 1.7 1.8 1.9 2.0 2.2 2.3 2.4 2.4 2.6 2.7 2.8 2.8 3.0 3.2 3.3 3.0 3.4 3.6 3.8 3.0 3.4 3.6 4.0 3.0 3.4 3.6 4.0 250 less than 375 1.3 1.6 1.8 2.0 1.8 2.2 2.4 2.7 2.2 2.7 3.0 3.3 2.6 3.2 3.6 4.0 3.0 3.4 4.3 4.7 3.2 3.6 4.5 4.5 3.5 3.8 </x:v>
      </x:c>
      <x:c r="G422" s="8" t="str">
        <x:v>candidate_unreviewed</x:v>
      </x:c>
      <x:c r="H422" s="21" t="b">
        <x:v>0</x:v>
      </x:c>
      <x:c r="I422" s="8" t="str">
        <x:v>Keyword extraction only. Read page image and full context before promoting. English search cannot exclude Sinhala/Tamil or image-only content.</x:v>
      </x:c>
    </x:row>
    <x:row r="423" ht="448" customHeight="1">
      <x:c r="A423" s="11" t="str">
        <x:v>C00422</x:v>
      </x:c>
      <x:c r="B423" s="11" t="str">
        <x:v>SRC_0076</x:v>
      </x:c>
      <x:c r="C423" s="11" t="str">
        <x:v>Rathnapura Development Plan - Englsih.pdf</x:v>
      </x:c>
      <x:c r="D423" s="22" t="n">
        <x:v>279</x:v>
      </x:c>
      <x:c r="E423" s="11" t="str">
        <x:v>plot coverage, setbacks</x:v>
      </x:c>
      <x:c r="F423" s="11" t="str">
        <x:v>h road shall not be changed ﬂぃvÖß=ßぃôüぃ%çüうぃ¿üぷß=\ÌßぃC%ß¿ÚÅß̶ぃぐô̶ß=ぃうÖßぃみüôÚôÌぃ=ßÌぐç\うÚüôC Form C - Setbacks &amp; Open Spaces Building Height (m) Minimum Site Frontage (m) Plot Coverage* Rear Space (m) Side Space (m) Light Well for NLV Non Residential Residential When no NLV is taking this end When NLV is taking this end When no NLV is taking this end When NLV is taking this end Minimum width Minimum Area less than 7 6 80%** 65% 2.3m 2.3m - 2.3m 2.3m 5 Sq.m 7 less than 15 6 65% 65% 3.0m 3.0m - 3.0m 3.0m 9 Sq.m 15 less than 30 12 65% 65% 4.0m 4.0m 1.0m and 3.0m 4.0m 4.0m 16 Sq.m 30 less than 50 20 65% 65% 4.0m 5.0m 3.0m both side 5.0m 5.0m 25 Sq.m 50 less than 75 30 50%*** 50%*** 5.0m 6.0m 4.0m both side 6.0m 6.0m 36 Sq.m 75 and above Above || ßぃみüôÚôÌぃ=ßÌぐç\うÚüôC Form C - Setbacks &amp; Open Spaces Building Height (m) Minimum Site Frontage (m) Plot Coverage* Rear Space (m) Side Space (m) Light Well for NLV Non Residential Residential When no NLV is taking this end When NLV is taking this end When no NLV is taking this end When NLV is taking this end Minimum width Minimum Area less than 7 6 80%** 65% 2.3m 2.3m - 2.3m 2.3m 5 Sq.m 7 less than 15 6 65% 65% 3.0m 3.0m - 3.0m 3.0m 9 Sq.m 15 less than 30 12 65% 65% 4.0m 4.0m 1.0m and 3.0m 4.0m 4.0m 16 Sq.m 30 less than 50 20 65% 65% 4.0m 5.0m 3.0m both side 5.0m 5.0m 25 Sq.m 50 less than 75 30 50%*** 50%*** 5.0m 6.0m 4.0m both side 6.0m 6.0m 36 Sq.m 75 and above Above 40m 50%*** 50%*** 5.0m 6.0m 5.0m both side 6.0m 6.0m **** NLV - Natural Lig</x:v>
      </x:c>
      <x:c r="G423" s="11" t="str">
        <x:v>candidate_unreviewed</x:v>
      </x:c>
      <x:c r="H423" s="24" t="b">
        <x:v>0</x:v>
      </x:c>
      <x:c r="I423" s="11" t="str">
        <x:v>Keyword extraction only. Read page image and full context before promoting. English search cannot exclude Sinhala/Tamil or image-only content.</x:v>
      </x:c>
    </x:row>
    <x:row r="424" ht="112" customHeight="1">
      <x:c r="A424" s="8" t="str">
        <x:v>C00423</x:v>
      </x:c>
      <x:c r="B424" s="8" t="str">
        <x:v>SRC_0076</x:v>
      </x:c>
      <x:c r="C424" s="8" t="str">
        <x:v>Rathnapura Development Plan - Englsih.pdf</x:v>
      </x:c>
      <x:c r="D424" s="18" t="n">
        <x:v>281</x:v>
      </x:c>
      <x:c r="E424" s="8" t="str">
        <x:v>plot coverage</x:v>
      </x:c>
      <x:c r="F424" s="8" t="str">
        <x:v>- Reforetation Activities - Drinking Water Supply Projects - Security Hut, Ticketing Counters (Plot Coverage not exeeding 25sqm) Floor area not exceeding 25 square meters) - Chapter 08 Zoning Guidelines Forest Conservation Zone Zoning Guidelines and Permissible Uses for the Forest Conservation Zone</x:v>
      </x:c>
      <x:c r="G424" s="8" t="str">
        <x:v>candidate_unreviewed</x:v>
      </x:c>
      <x:c r="H424" s="21" t="b">
        <x:v>0</x:v>
      </x:c>
      <x:c r="I424" s="8" t="str">
        <x:v>Keyword extraction only. Read page image and full context before promoting. English search cannot exclude Sinhala/Tamil or image-only content.</x:v>
      </x:c>
    </x:row>
    <x:row r="425" ht="154" customHeight="1">
      <x:c r="A425" s="11" t="str">
        <x:v>C00424</x:v>
      </x:c>
      <x:c r="B425" s="11" t="str">
        <x:v>SRC_0076</x:v>
      </x:c>
      <x:c r="C425" s="11" t="str">
        <x:v>Rathnapura Development Plan - Englsih.pdf</x:v>
      </x:c>
      <x:c r="D425" s="22" t="n">
        <x:v>285</x:v>
      </x:c>
      <x:c r="E425" s="11" t="str">
        <x:v>plot coverage</x:v>
      </x:c>
      <x:c r="F425" s="11" t="str">
        <x:v>an 25 m2 Floor Area) - ii. Theme Parks (Aquabase) - (iv) Vehicular i. Vehicle Parks (On steel) - Plot coverage 50% - (v) Other i. Floriculture (of the lotus genus) is proposed only for the area around the lake - ii. Wetland related agriculture - iii. National infrastructure projects - Chapter 08 Zoning Guidelines Nature Conservation Zone Zoning Guidelines and Permissible Uses for the Nature Conservation Zone Commercial Zone Zoning Guidelines and Permissible Uses for the Commercial Zone</x:v>
      </x:c>
      <x:c r="G425" s="11" t="str">
        <x:v>candidate_unreviewed</x:v>
      </x:c>
      <x:c r="H425" s="24" t="b">
        <x:v>0</x:v>
      </x:c>
      <x:c r="I425" s="11" t="str">
        <x:v>Keyword extraction only. Read page image and full context before promoting. English search cannot exclude Sinhala/Tamil or image-only content.</x:v>
      </x:c>
    </x:row>
    <x:row r="426" ht="224" customHeight="1">
      <x:c r="A426" s="8" t="str">
        <x:v>C00425</x:v>
      </x:c>
      <x:c r="B426" s="8" t="str">
        <x:v>SRC_0079</x:v>
      </x:c>
      <x:c r="C426" s="8" t="str">
        <x:v>Rathnapura.zip::Rathnapura/Ratnapura Volume II.pdf</x:v>
      </x:c>
      <x:c r="D426" s="18" t="n">
        <x:v>44</x:v>
      </x:c>
      <x:c r="E426" s="8" t="str">
        <x:v>plot coverage</x:v>
      </x:c>
      <x:c r="F426" s="8" t="str">
        <x:v>ill when constructing buildings within the Coastal Zone) - 45 perches land extent - 66% plot coverage - 2.5 FAR N.B. Approval is being given only for the actions related to the Tourism Industry. 3.2.8.2 If any allotment is situated facing to an „A‟ class main road, the minimum extent of the land subject for development in order to consider granting permission for usages described in No. II to XII above-mentioned 3.2.8.1 must be 250 m2 (10 perches) and width of the land obverse must be minimum 6 meters (20 feet). 3.2.8.3 Vehicle parking facilities within the relevant land must be provided in respect of every development which is being considered for approval within this zone. 3.2.8.4 Construction of buildings descr</x:v>
      </x:c>
      <x:c r="G426" s="8" t="str">
        <x:v>candidate_unreviewed</x:v>
      </x:c>
      <x:c r="H426" s="21" t="b">
        <x:v>0</x:v>
      </x:c>
      <x:c r="I426" s="8" t="str">
        <x:v>Keyword extraction only. Read page image and full context before promoting. English search cannot exclude Sinhala/Tamil or image-only content.</x:v>
      </x:c>
    </x:row>
    <x:row r="427" ht="644" customHeight="1">
      <x:c r="A427" s="11" t="str">
        <x:v>C00426</x:v>
      </x:c>
      <x:c r="B427" s="11" t="str">
        <x:v>SRC_0079</x:v>
      </x:c>
      <x:c r="C427" s="11" t="str">
        <x:v>Rathnapura.zip::Rathnapura/Ratnapura Volume II.pdf</x:v>
      </x:c>
      <x:c r="D427" s="22" t="n">
        <x:v>55</x:v>
      </x:c>
      <x:c r="E427" s="11" t="str">
        <x:v>minimum width</x:v>
      </x:c>
      <x:c r="F427" s="11" t="str">
        <x:v>in conformity with the specifications set out in in Form “A” of Schedule 04 here. However, the minimum width of the street when providing access to a number of houses more than twenty units in the low density residential zone of Ratnapura urban development plan must be Six meters. b. Permission may be granted to construct a street less than Nine (9) meters in width to passage for one or more allotments where any non- residential building is constructed and such constructions must be in compliance to the specifications contained in Form “B” of Schedule However if the Chairman is of opinion that undue hardship will be caused to a person, in the case of residential use of a lot if the minimum access requirements for dwelling || um access requirements for dwelling house as stipulated in Schedule 04 are to be complied with the minimum width of access may be reduced by not more than two meters on the recommendation of the Head of Local Authority and in consultation with the Planning Committee subject to the following; i. A minimum width of three meters is available for access ii This reduction will not apply in case new sub-divisions ii. The area has a semi-urban character (iii) All streets described in “B” above must be connected to a common street in a width not exceeding Nine (9) meters. Such person who possess a private street must have a right of way to connects with a common street in a width not exceeding 9 (Nine) meters. (iv) A turning ci || Local Authority and in consultation with the Planning Committee subject to the following; i. A minimum width of three meters is available for access ii This reduction will not apply in case new sub-divisions ii. The area has a semi-urban character (iii) All streets described in “B” above must be connected to a common street in a width not exceeding Nine (9) meters. Such person who possess a private street must have a right of way to connects with a common street in a width not exceeding 9 (Nine) meters. (iv) A turning circle in a diameter of not exceeding Nine (9) meters must have arranged at the end of every street in a width and length not exceeding Nine (9) meters and Thirty (30) meters respectively. 15. Specifica</x:v>
      </x:c>
      <x:c r="G427" s="11" t="str">
        <x:v>candidate_unreviewed</x:v>
      </x:c>
      <x:c r="H427" s="24" t="b">
        <x:v>0</x:v>
      </x:c>
      <x:c r="I427" s="11" t="str">
        <x:v>Keyword extraction only. Read page image and full context before promoting. English search cannot exclude Sinhala/Tamil or image-only content.</x:v>
      </x:c>
    </x:row>
    <x:row r="428" ht="224" customHeight="1">
      <x:c r="A428" s="8" t="str">
        <x:v>C00427</x:v>
      </x:c>
      <x:c r="B428" s="8" t="str">
        <x:v>SRC_0079</x:v>
      </x:c>
      <x:c r="C428" s="8" t="str">
        <x:v>Rathnapura.zip::Rathnapura/Ratnapura Volume II.pdf</x:v>
      </x:c>
      <x:c r="D428" s="18" t="n">
        <x:v>56</x:v>
      </x:c>
      <x:c r="E428" s="8" t="str">
        <x:v>staircase</x:v>
      </x:c>
      <x:c r="F428" s="8" t="str">
        <x:v>ceeding a height of six (6) meters and not exceeding fifty five (55) square meters in extent, or a staircase room not exceeding a height of five (5) meters and not exceeding 25 square meters in extent or a water tank not exceeding a height of 1.5 meters shall be ignored. (iv) If any land or a property is located facing to Kalu Ganga, the height of buildings constructed therein must be in compliance to the conditions contained in Volume-II of Ratnapura urban development plan. 17. Street Lines and Building Lines (i) When the street lines for any street under any Act or any conditions have already been determined, the street line of relevant street or road must be in compliance to the said Orders. (ii) The building line for ev</x:v>
      </x:c>
      <x:c r="G428" s="8" t="str">
        <x:v>candidate_unreviewed</x:v>
      </x:c>
      <x:c r="H428" s="21" t="b">
        <x:v>0</x:v>
      </x:c>
      <x:c r="I428" s="8" t="str">
        <x:v>Keyword extraction only. Read page image and full context before promoting. English search cannot exclude Sinhala/Tamil or image-only content.</x:v>
      </x:c>
    </x:row>
    <x:row r="429" ht="224" customHeight="1">
      <x:c r="A429" s="11" t="str">
        <x:v>C00428</x:v>
      </x:c>
      <x:c r="B429" s="11" t="str">
        <x:v>SRC_0079</x:v>
      </x:c>
      <x:c r="C429" s="11" t="str">
        <x:v>Rathnapura.zip::Rathnapura/Ratnapura Volume II.pdf</x:v>
      </x:c>
      <x:c r="D429" s="22" t="n">
        <x:v>57</x:v>
      </x:c>
      <x:c r="E429" s="11" t="str">
        <x:v>minimum width</x:v>
      </x:c>
      <x:c r="F429" s="11" t="str">
        <x:v>joined to an existing or proposed street or adjoined to a street stated in Order-14. (ii) The minimum width of the land allocated for vehicle transportation in streets must be as approved by the Authority. But the streets up to 9 meters and above 9 meters must be not less than 3.0 meters and 5 meters respectively. 20. (i) If the land or allotment subject to subdivision is more than 1.0 hectare, a portion in extent of not less than Ten percent from the land or allotment must be allocated to use for communal recreation activities and open air areas from suitable places after leaving streets. (a) If minimum extent of the land in a subdivision for commercial and industrial purpose is not less than 2.024 m2 (80 perches) and all roads‟</x:v>
      </x:c>
      <x:c r="G429" s="11" t="str">
        <x:v>candidate_unreviewed</x:v>
      </x:c>
      <x:c r="H429" s="24" t="b">
        <x:v>0</x:v>
      </x:c>
      <x:c r="I429" s="11" t="str">
        <x:v>Keyword extraction only. Read page image and full context before promoting. English search cannot exclude Sinhala/Tamil or image-only content.</x:v>
      </x:c>
    </x:row>
    <x:row r="430" ht="196" customHeight="1">
      <x:c r="A430" s="8" t="str">
        <x:v>C00429</x:v>
      </x:c>
      <x:c r="B430" s="8" t="str">
        <x:v>SRC_0079</x:v>
      </x:c>
      <x:c r="C430" s="8" t="str">
        <x:v>Rathnapura.zip::Rathnapura/Ratnapura Volume II.pdf</x:v>
      </x:c>
      <x:c r="D430" s="18" t="n">
        <x:v>60</x:v>
      </x:c>
      <x:c r="E430" s="8" t="str">
        <x:v>minimum width</x:v>
      </x:c>
      <x:c r="F430" s="8" t="str">
        <x:v>ll length - 4.8 meters (c) Minimum stall length for parallel parking 5.4 meters. (iii) The minimum width of aisles where vehicle are parked must be in compliance to the conditions contained in Form „B‟ of Schedule-05. (iv) The width of access to car parking area shall not be less than 3 meters clear of footways and other obstructions if entry and exit are separately provided and 5.5 meters if entry and exit are provided together. (v) The maximum gradient of ramps shall not be steeper than 1 in 8. (vi) Every such ramp shall start only beyond a distance of 6.0 meters from the street edge. 53</x:v>
      </x:c>
      <x:c r="G430" s="8" t="str">
        <x:v>candidate_unreviewed</x:v>
      </x:c>
      <x:c r="H430" s="21" t="b">
        <x:v>0</x:v>
      </x:c>
      <x:c r="I430" s="8" t="str">
        <x:v>Keyword extraction only. Read page image and full context before promoting. English search cannot exclude Sinhala/Tamil or image-only content.</x:v>
      </x:c>
    </x:row>
    <x:row r="431" ht="434" customHeight="1">
      <x:c r="A431" s="11" t="str">
        <x:v>C00430</x:v>
      </x:c>
      <x:c r="B431" s="11" t="str">
        <x:v>SRC_0079</x:v>
      </x:c>
      <x:c r="C431" s="11" t="str">
        <x:v>Rathnapura.zip::Rathnapura/Ratnapura Volume II.pdf</x:v>
      </x:c>
      <x:c r="D431" s="22" t="n">
        <x:v>69</x:v>
      </x:c>
      <x:c r="E431" s="11" t="str">
        <x:v>bathroom</x:v>
      </x:c>
      <x:c r="F431" s="11" t="str">
        <x:v>han the minimum measurements indicated in Form “A” of Schdeule-06. 38. The clear dimensions of bathrooms and toilets must be not less than the measurements indicated in Form “A” of Schedule-6. 39. (i) The store-rooms‟ to which not required lawful ventilation must not exceed 2.25 m2 and length must not exceed 1.5 meters. (ii) The total area of all store-rooms consist with aforementioned dimensions must not exceed 5% of the building‟s area. 40. The minimum height of rooms must be as stated below a. For toilets, bathrooms and corridors must be not less than 2.1 meters. b. For all other rooms in whatever building must be not less than 2.7 meters. However, the said height spread up from roof‟s level due to beams, walls || e building‟s area. 40. The minimum height of rooms must be as stated below a. For toilets, bathrooms and corridors must be not less than 2.1 meters. b. For all other rooms in whatever building must be not less than 2.7 meters. However, the said height spread up from roof‟s level due to beams, walls and filial must be not less than 2.4 meters at any place: further, c. The rooms‟ height of a centrally air-conditioned building must be not less than 2.4 meters. 41. Regarding the rooms having a slanted roof must be not less than the measurements (at center point of the slanted roof) contained in Order-40 and the minimum height in any part of the room must be not less than 2.1 meters. 42. Stairs (i) The minimum stairs</x:v>
      </x:c>
      <x:c r="G431" s="11" t="str">
        <x:v>candidate_unreviewed</x:v>
      </x:c>
      <x:c r="H431" s="24" t="b">
        <x:v>0</x:v>
      </x:c>
      <x:c r="I431" s="11" t="str">
        <x:v>Keyword extraction only. Read page image and full context before promoting. English search cannot exclude Sinhala/Tamil or image-only content.</x:v>
      </x:c>
    </x:row>
    <x:row r="432" ht="644" customHeight="1">
      <x:c r="A432" s="8" t="str">
        <x:v>C00431</x:v>
      </x:c>
      <x:c r="B432" s="8" t="str">
        <x:v>SRC_0079</x:v>
      </x:c>
      <x:c r="C432" s="8" t="str">
        <x:v>Rathnapura.zip::Rathnapura/Ratnapura Volume II.pdf</x:v>
      </x:c>
      <x:c r="D432" s="18" t="n">
        <x:v>70</x:v>
      </x:c>
      <x:c r="E432" s="8" t="str">
        <x:v>light and ventilation</x:v>
      </x:c>
      <x:c r="F432" s="8" t="str">
        <x:v>of not fall down somebody from a side of the said stair bed, loggia or verandah. 43. Supply of Light and Ventilation (i) Natural light and ventilation to every room of every building by windows, doors or any other approved ventilator must be provided. (ii) Such windows and ventilators to provide natural light and ventilation to every room of a building must left opened and facing :- a. to a common street or any street having right of way for the building owner ; or b. to a compound or an opened area situated at the site belongs to the building. 44. (i) Regarding rooms which are not relevant to warehouses and industries, any part in the said room, by a distance of more than 10 meters from the direction spreading horizontally to t || of the said stair bed, loggia or verandah. 43. Supply of Light and Ventilation (i) Natural light and ventilation to every room of every building by windows, doors or any other approved ventilator must be provided. (ii) Such windows and ventilators to provide natural light and ventilation to every room of a building must left opened and facing :- a. to a common street or any street having right of way for the building owner ; or b. to a compound or an opened area situated at the site belongs to the building. 44. (i) Regarding rooms which are not relevant to warehouses and industries, any part in the said room, by a distance of more than 10 meters from the direction spreading horizontally to the said ventilators‟ level, left to pr || ther approved ventilator must be provided. (ii) Such windows and ventilators to provide natural light and ventilation to every room of a building must left opened and facing :- a. to a common street or any street having right of way for the building owner ; or b. to a compound or an opened area situated at the site belongs to the building. 44. (i) Regarding rooms which are not relevant to warehouses and industries, any part in the said room, by a distance of more than 10 meters from the direction spreading horizontally to the said ventilators‟ level, left to provided light an ventilation, must not be situated. Further, any part in such room, by a distance of more than 3 meters from the direction spreading p</x:v>
      </x:c>
      <x:c r="G432" s="8" t="str">
        <x:v>candidate_unreviewed</x:v>
      </x:c>
      <x:c r="H432" s="21" t="b">
        <x:v>0</x:v>
      </x:c>
      <x:c r="I432" s="8" t="str">
        <x:v>Keyword extraction only. Read page image and full context before promoting. English search cannot exclude Sinhala/Tamil or image-only content.</x:v>
      </x:c>
    </x:row>
    <x:row r="433" ht="518" customHeight="1">
      <x:c r="A433" s="11" t="str">
        <x:v>C00432</x:v>
      </x:c>
      <x:c r="B433" s="11" t="str">
        <x:v>SRC_0079</x:v>
      </x:c>
      <x:c r="C433" s="11" t="str">
        <x:v>Rathnapura.zip::Rathnapura/Ratnapura Volume II.pdf</x:v>
      </x:c>
      <x:c r="D433" s="22" t="n">
        <x:v>71</x:v>
      </x:c>
      <x:c r="E433" s="11" t="str">
        <x:v>bathroom, light and ventilation</x:v>
      </x:c>
      <x:c r="F433" s="11" t="str">
        <x:v>of two or more sides of said room must be provided to get ventilation. 47. In determination of light and ventilation, if half area of the common wall stands between any two rooms is opened and unfettered, a said room can be considered as a part of the adjoining room. 48. Regarding the buildings in depth of more than 12 meters of which sides‟ ventilators are not located, permanent ventilation can be provided by constructing suitable ventilators in front, back and all cross walls. (here maximum length must be 24 meters). 49. (i) Every window or other ventilator except toilets and bathrooms of a building must left opened to a standard light level and whole space over the said level except backyards and exposures spread to a distance not excee || aximum length must be 24 meters). 49. (i) Every window or other ventilator except toilets and bathrooms of a building must left opened to a standard light level and whole space over the said level except backyards and exposures spread to a distance not exceeding 1.0 meter must left opened towards the sky without any barrier. For the purpose of this Order the “Standard Light Level” means the level drawn as to spread upwards, leaving 63 ½0 to the initial horizontal line from land level (from the lowest level out of the building) which is not a ground floor, allocated only for vehicle parking or to place an air-conditioner or any other service machinery. In a circumstance where any barrier (not an approved barrier) has been locate || e entirely relevant to the building or consigned for public usage. (iii) Regarding toilets and bathrooms, if an unfettered 1 meter width open air area within said site adjoining to the ventilator is available, the Authority can relax the standards pertained to Standard Light Level. 64</x:v>
      </x:c>
      <x:c r="G433" s="11" t="str">
        <x:v>candidate_unreviewed</x:v>
      </x:c>
      <x:c r="H433" s="24" t="b">
        <x:v>0</x:v>
      </x:c>
      <x:c r="I433" s="11" t="str">
        <x:v>Keyword extraction only. Read page image and full context before promoting. English search cannot exclude Sinhala/Tamil or image-only content.</x:v>
      </x:c>
    </x:row>
    <x:row r="434" ht="644" customHeight="1">
      <x:c r="A434" s="8" t="str">
        <x:v>C00433</x:v>
      </x:c>
      <x:c r="B434" s="8" t="str">
        <x:v>SRC_0079</x:v>
      </x:c>
      <x:c r="C434" s="8" t="str">
        <x:v>Rathnapura.zip::Rathnapura/Ratnapura Volume II.pdf</x:v>
      </x:c>
      <x:c r="D434" s="18" t="n">
        <x:v>72</x:v>
      </x:c>
      <x:c r="E434" s="8" t="str">
        <x:v>bathroom, light and ventilation, minimum width</x:v>
      </x:c>
      <x:c r="F434" s="8" t="str">
        <x:v>om‟s external walls‟ height must be located, above the external land level when supplying natural light and ventilation. The full light and ventilation required must be supplied above the external land level. 51. In a circumstance where a photographic dark room or refrigerating room and according to the nature it is used, if ventilators cannot be located by way of directly opened them to outside light and air and artificial light and mechanical ventilation has supplied up to the Authority‟s satisfaction, the provisions contained in Sub Clause-1 of Order-43 will not relevant to such room. 52. Supply of Mechanical Ventilation and Air-Conditioning (i) In a circumstance where the Authority considers that a central air- conditioning plant-ya || t be located, above the external land level when supplying natural light and ventilation. The full light and ventilation required must be supplied above the external land level. 51. In a circumstance where a photographic dark room or refrigerating room and according to the nature it is used, if ventilators cannot be located by way of directly opened them to outside light and air and artificial light and mechanical ventilation has supplied up to the Authority‟s satisfaction, the provisions contained in Sub Clause-1 of Order-43 will not relevant to such room. 52. Supply of Mechanical Ventilation and Air-Conditioning (i) In a circumstance where the Authority considers that a central air- conditioning plant-yard is required to establish acco || uthority can be fixed and used in case a power disconnection will occur. (ii) The toilets‟ and bathrooms‟ windows or ventilators can make as to open to a contracted air way, in case they can‟t open to an external or internal open air area consists with a standard width. The surface area of such air way must be not less than 1 m2 and minimum width of a surface side must be not less than 1 meter regarding the buildings up to 15 meters height and the surface area must be not less than 3 m2 and minimum width of a surface side must be not less than 1.5 meters regarding the buildings above 15 meters height. However, regarding two floors buildings, the ventilation for a such buildings‟ toilets and</x:v>
      </x:c>
      <x:c r="G434" s="8" t="str">
        <x:v>candidate_unreviewed</x:v>
      </x:c>
      <x:c r="H434" s="21" t="b">
        <x:v>0</x:v>
      </x:c>
      <x:c r="I434" s="8" t="str">
        <x:v>Keyword extraction only. Read page image and full context before promoting. English search cannot exclude Sinhala/Tamil or image-only content.</x:v>
      </x:c>
    </x:row>
    <x:row r="435" ht="224" customHeight="1">
      <x:c r="A435" s="11" t="str">
        <x:v>C00434</x:v>
      </x:c>
      <x:c r="B435" s="11" t="str">
        <x:v>SRC_0079</x:v>
      </x:c>
      <x:c r="C435" s="11" t="str">
        <x:v>Rathnapura.zip::Rathnapura/Ratnapura Volume II.pdf</x:v>
      </x:c>
      <x:c r="D435" s="22" t="n">
        <x:v>83</x:v>
      </x:c>
      <x:c r="E435" s="11" t="str">
        <x:v>stair case</x:v>
      </x:c>
      <x:c r="F435" s="11" t="str">
        <x:v>ts ground level exceeds 15 meters excluding a lift or motor room not exceeding 50 2 m in extent or stair case of not exceeding a height of 3 meters and not exceeding 25 2 m in extent or a water tank not exceeding a height of 1.5 meters. “Building residential" means a building exclusively consisting of one dwelling unit or number of dwelling units. “Building line” means a line up to which a building will be permitted to extend. “Building works” means includes erection or re-erection of a building or making additions or alterations to an existing building. “Chairman” means the Chairman of the Urban Development Authority. “Dwelling house or dwelling unit” means a building or a part of a building consisting of a room or group of roo</x:v>
      </x:c>
      <x:c r="G435" s="11" t="str">
        <x:v>candidate_unreviewed</x:v>
      </x:c>
      <x:c r="H435" s="24" t="b">
        <x:v>0</x:v>
      </x:c>
      <x:c r="I435" s="11" t="str">
        <x:v>Keyword extraction only. Read page image and full context before promoting. English search cannot exclude Sinhala/Tamil or image-only content.</x:v>
      </x:c>
    </x:row>
    <x:row r="436" ht="196" customHeight="1">
      <x:c r="A436" s="8" t="str">
        <x:v>C00435</x:v>
      </x:c>
      <x:c r="B436" s="8" t="str">
        <x:v>SRC_0079</x:v>
      </x:c>
      <x:c r="C436" s="8" t="str">
        <x:v>Rathnapura.zip::Rathnapura/Ratnapura Volume II.pdf</x:v>
      </x:c>
      <x:c r="D436" s="18" t="n">
        <x:v>98</x:v>
      </x:c>
      <x:c r="E436" s="8" t="str">
        <x:v>plot coverage</x:v>
      </x:c>
      <x:c r="F436" s="8" t="str">
        <x:v>s floor area of all buildings F.A.R. -------------------------------------- Site Area (d) Plot Coverage Floor area at ground level x 100 -------------------------------------- Site Area (e) Basement (i) Extent: (ii) Ground Coverage: (f) Details of floor space (sq.m.) Residential: Retail Commerce: Wholesale Commerce: Office: Restaurant: Factory or Workshop: Warehouse: Others (specify): Total: (g) Parking spaces provided: Cars: Others (specify): 7. Details of site sub division sq.m. % total area (a) Land use: Residential: Commercial: Industrial: Institutional: Open spaces, parks and play fields: Roads Others (b) No., type and size of p</x:v>
      </x:c>
      <x:c r="G436" s="8" t="str">
        <x:v>candidate_unreviewed</x:v>
      </x:c>
      <x:c r="H436" s="21" t="b">
        <x:v>0</x:v>
      </x:c>
      <x:c r="I436" s="8" t="str">
        <x:v>Keyword extraction only. Read page image and full context before promoting. English search cannot exclude Sinhala/Tamil or image-only content.</x:v>
      </x:c>
    </x:row>
    <x:row r="437" ht="420" customHeight="1">
      <x:c r="A437" s="11" t="str">
        <x:v>C00436</x:v>
      </x:c>
      <x:c r="B437" s="11" t="str">
        <x:v>SRC_0079</x:v>
      </x:c>
      <x:c r="C437" s="11" t="str">
        <x:v>Rathnapura.zip::Rathnapura/Ratnapura Volume II.pdf</x:v>
      </x:c>
      <x:c r="D437" s="22" t="n">
        <x:v>111</x:v>
      </x:c>
      <x:c r="E437" s="11" t="str">
        <x:v>minimum width</x:v>
      </x:c>
      <x:c r="F437" s="11" t="str">
        <x:v>– “A” Access to Residential Buildings Number of Units for Residence Provided by the Road The Minimum Width of the Road in Meters Maximum Length (in Meters) Below 5 units for residence 3.0 50 Between 5 – 10 units for residence 4.0 100 Between 10 – 20 units for residence 5.0 - Above 20 units for residence 8.0 - Schedule IV Form – “B” (In Compliance to the Order – 15) Access to Non-Residential Buildings The Maximum Extent of the Land, Provided Access by the Road (in Sq.Mt.) Number of Blocks The Maximum Site Ratio of Each Site Minimum Width of the Street (in Meters) Maximum Length of the Street (in Meters) When services provided to an area more than one allotment or site and less than four allotments, an || Provided Access by the Road (in Sq.Mt.) Number of Blocks The Maximum Site Ratio of Each Site Minimum Width of the Street (in Meters) Maximum Length of the Street (in Meters) When services provided to an area more than one allotment or site and less than four allotments, an allotment must be not less than 300 m2. 2.5 6.0 75 When service provided by the street to one allotment or site, the allotment must be 1500 in square meters 1.5 6.0 200 Schedule V Form – “A” (In Compliance to the Order – 29) Standards Relevant to the Spaces for Vehicle Parking Utilization Area of a Unit – Sq.Mt. The Minimum Space Facilities to Park Vehicles 1 Residential 175 01 2 Commercial 200 01 3 Government / Semi-Government</x:v>
      </x:c>
      <x:c r="G437" s="11" t="str">
        <x:v>candidate_unreviewed</x:v>
      </x:c>
      <x:c r="H437" s="24" t="b">
        <x:v>0</x:v>
      </x:c>
      <x:c r="I437" s="11" t="str">
        <x:v>Keyword extraction only. Read page image and full context before promoting. English search cannot exclude Sinhala/Tamil or image-only content.</x:v>
      </x:c>
    </x:row>
    <x:row r="438" ht="490" customHeight="1">
      <x:c r="A438" s="8" t="str">
        <x:v>C00437</x:v>
      </x:c>
      <x:c r="B438" s="8" t="str">
        <x:v>SRC_0079</x:v>
      </x:c>
      <x:c r="C438" s="8" t="str">
        <x:v>Rathnapura.zip::Rathnapura/Ratnapura Volume II.pdf</x:v>
      </x:c>
      <x:c r="D438" s="18" t="n">
        <x:v>113</x:v>
      </x:c>
      <x:c r="E438" s="8" t="str">
        <x:v>bathroom, minimum width</x:v>
      </x:c>
      <x:c r="F438" s="8" t="str">
        <x:v>Schedule VI Form – “B” (In Compliance to the Order – 38) The Clear Interior Dimensions of Bathrooms and Toilets Room Minimum Width (in Meters) Minimum Length (in Meters) 1 2 3 Bathroom 1.5 1.2 Toilet 1.2 1.2 Bathroom and toilet annexed 1.5 1.7 Schedule VI Form – “C” (In Compliance to the Order – 42) Stairs Type Width of Stairs (cm) Minimum Head Height (meters) Height of a Step Width of a Step (cm) (1) (2) (3) (4) (5) (a) An interior stair used only for one upstairs 75 2.0 19 22.5 (b) Stairs in a common building where public gather 105 2.1 17.5 22.5 (c) All other types 90 2.1 17.5 22.5 106 || In Compliance to the Order – 38) The Clear Interior Dimensions of Bathrooms and Toilets Room Minimum Width (in Meters) Minimum Length (in Meters) 1 2 3 Bathroom 1.5 1.2 Toilet 1.2 1.2 Bathroom and toilet annexed 1.5 1.7 Schedule VI Form – “C” (In Compliance to the Order – 42) Stairs Type Width of Stairs (cm) Minimum Head Height (meters) Height of a Step Width of a Step (cm) (1) (2) (3) (4) (5) (a) An interior stair used only for one upstairs 75 2.0 19 22.5 (b) Stairs in a common building where public gather 105 2.1 17.5 22.5 (c) All other types 90 2.1 17.5 22.5 106 || of Bathrooms and Toilets Room Minimum Width (in Meters) Minimum Length (in Meters) 1 2 3 Bathroom 1.5 1.2 Toilet 1.2 1.2 Bathroom and toilet annexed 1.5 1.7 Schedule VI Form – “C” (In Compliance to the Order – 42) Stairs Type Width of Stairs (cm) Minimum Head Height (meters) Height of a Step Width of a Step (cm) (1) (2) (3) (4) (5) (a) An interior stair used only for one upstairs 75 2.0 19 22.5 (b) Stairs in a common building where public gather 105 2.1 17.5 22.5 (c) All other types 90 2.1 17.5 22.5 106</x:v>
      </x:c>
      <x:c r="G438" s="8" t="str">
        <x:v>candidate_unreviewed</x:v>
      </x:c>
      <x:c r="H438" s="21" t="b">
        <x:v>0</x:v>
      </x:c>
      <x:c r="I438" s="8" t="str">
        <x:v>Keyword extraction only. Read page image and full context before promoting. English search cannot exclude Sinhala/Tamil or image-only content.</x:v>
      </x:c>
    </x:row>
    <x:row r="439" ht="420" customHeight="1">
      <x:c r="A439" s="11" t="str">
        <x:v>C00438</x:v>
      </x:c>
      <x:c r="B439" s="11" t="str">
        <x:v>SRC_0079</x:v>
      </x:c>
      <x:c r="C439" s="11" t="str">
        <x:v>Rathnapura.zip::Rathnapura/Ratnapura Volume II.pdf</x:v>
      </x:c>
      <x:c r="D439" s="22" t="n">
        <x:v>114</x:v>
      </x:c>
      <x:c r="E439" s="11" t="str">
        <x:v>bathroom, light and ventilation</x:v>
      </x:c>
      <x:c r="F439" s="11" t="str">
        <x:v>tered Counters Type As a part of total area under each subject mentioned in I I (for natural light and ventilation), the extent must leave by unfettered counters Percentage (%) of the space where able to open counters Column I Column II Column III (1) Bathrooms and toilets 1/10 100 (2) Vehicle parking garage 1/10 50 (3) Industries and warehouses 1/10 50 (4) All other rooms 1/7 50 Schedule VI Form – “E” In Compliance to the Order – 56 Specifications Regarding Electric Escalator (i) Electric escalators for buildings consist with five floors or above must be fixed at least near the main door and suitable places. The capacity for main escalator and other escalators must be 12 – 16 and 8 – 12 persons respectively. || Percentage (%) of the space where able to open counters Column I Column II Column III (1) Bathrooms and toilets 1/10 100 (2) Vehicle parking garage 1/10 50 (3) Industries and warehouses 1/10 50 (4) All other rooms 1/7 50 Schedule VI Form – “E” In Compliance to the Order – 56 Specifications Regarding Electric Escalator (i) Electric escalators for buildings consist with five floors or above must be fixed at least near the main door and suitable places. The capacity for main escalator and other escalators must be 12 – 16 and 8 – 12 persons respectively. (ii) Medium speed electric escalators must be fixed for buildings consist with 5 – 10 floors. (i) High speed electric escalators must be fixed for buil</x:v>
      </x:c>
      <x:c r="G439" s="11" t="str">
        <x:v>candidate_unreviewed</x:v>
      </x:c>
      <x:c r="H439" s="24" t="b">
        <x:v>0</x:v>
      </x:c>
      <x:c r="I439" s="11" t="str">
        <x:v>Keyword extraction only. Read page image and full context before promoting. English search cannot exclude Sinhala/Tamil or image-only content.</x:v>
      </x:c>
    </x:row>
    <x:row r="440" ht="196" customHeight="1">
      <x:c r="A440" s="8" t="str">
        <x:v>C00439</x:v>
      </x:c>
      <x:c r="B440" s="8" t="str">
        <x:v>SRC_0079</x:v>
      </x:c>
      <x:c r="C440" s="8" t="str">
        <x:v>Rathnapura.zip::Rathnapura/Ratnapura Volume II.pdf</x:v>
      </x:c>
      <x:c r="D440" s="18" t="n">
        <x:v>117</x:v>
      </x:c>
      <x:c r="E440" s="8" t="str">
        <x:v>minimum width</x:v>
      </x:c>
      <x:c r="F440" s="8" t="str">
        <x:v>icle parking area  One or more vehicle parking spaces/s must be provided for wheel chair users (minimum width 35 cm.)  The said space must be established and located closely to the entrance/exit door of vehicle parking area. Internal way of buildings allotments  The internal way to entrance/exit door of a building must be able to use by wheel chair users and provisions must be provided for guidance of persons who suffer from hearing/visual diseases.  Its‟ width must not exceed 120 cm. and slip ways etc… must be provided if there is a site level change.  Stalls to guide persons who suffer from visual diseases must be provided. 110</x:v>
      </x:c>
      <x:c r="G440" s="8" t="str">
        <x:v>candidate_unreviewed</x:v>
      </x:c>
      <x:c r="H440" s="21" t="b">
        <x:v>0</x:v>
      </x:c>
      <x:c r="I440" s="8" t="str">
        <x:v>Keyword extraction only. Read page image and full context before promoting. English search cannot exclude Sinhala/Tamil or image-only content.</x:v>
      </x:c>
    </x:row>
    <x:row r="441" ht="420" customHeight="1">
      <x:c r="A441" s="11" t="str">
        <x:v>C00440</x:v>
      </x:c>
      <x:c r="B441" s="11" t="str">
        <x:v>SRC_0083</x:v>
      </x:c>
      <x:c r="C441" s="11" t="str">
        <x:v>Sri Jayawardenapura.zip::Sri Jayawardenapura/SJP_Volume I.pdf</x:v>
      </x:c>
      <x:c r="D441" s="22" t="n">
        <x:v>32</x:v>
      </x:c>
      <x:c r="E441" s="11" t="str">
        <x:v>plot coverage</x:v>
      </x:c>
      <x:c r="F441" s="11" t="str">
        <x:v>e Sethsiripaya, Isurupaya, Sri Jayawardenapura Hospital and housing complex at Madiwela. The total plot coverage is 872 units (Table 23) Table No. 23 Centres for Pumping Sewage Sri Jayawardenapura Kotte Municipal Council Area Pumping Centers Plot Coverage (units) Pitakotte 52.25 Nugegoda 331.05 Rajagiriya 321.75 Etul Kotte 167.30 Total 872.35 Source: National Water Supply &amp; Drainage Board 6.5 Transport Taking into consideration the interconnection between Colombo and the adjacent urban areas, the transport system of Kotte Municipal Council interdependent. The problems identified and the solutions regarding transport should be considered on a priority basis. Since Kotte Municipal Council is recogniz || Centres for Pumping Sewage Sri Jayawardenapura Kotte Municipal Council Area Pumping Centers Plot Coverage (units) Pitakotte 52.25 Nugegoda 331.05 Rajagiriya 321.75 Etul Kotte 167.30 Total 872.35 Source: National Water Supply &amp; Drainage Board 6.5 Transport Taking into consideration the interconnection between Colombo and the adjacent urban areas, the transport system of Kotte Municipal Council interdependent. The problems identified and the solutions regarding transport should be considered on a priority basis. Since Kotte Municipal Council is recognized as a main administrative and residential center. The proposals for the improvement of the transport system in the city of Colombo will have a direct</x:v>
      </x:c>
      <x:c r="G441" s="11" t="str">
        <x:v>candidate_unreviewed</x:v>
      </x:c>
      <x:c r="H441" s="24" t="b">
        <x:v>0</x:v>
      </x:c>
      <x:c r="I441" s="11" t="str">
        <x:v>Keyword extraction only. Read page image and full context before promoting. English search cannot exclude Sinhala/Tamil or image-only content.</x:v>
      </x:c>
    </x:row>
    <x:row r="442" ht="630" customHeight="1">
      <x:c r="A442" s="8" t="str">
        <x:v>C00441</x:v>
      </x:c>
      <x:c r="B442" s="8" t="str">
        <x:v>SRC_0083</x:v>
      </x:c>
      <x:c r="C442" s="8" t="str">
        <x:v>Sri Jayawardenapura.zip::Sri Jayawardenapura/SJP_Volume I.pdf</x:v>
      </x:c>
      <x:c r="D442" s="18" t="n">
        <x:v>56</x:v>
      </x:c>
      <x:c r="E442" s="8" t="str">
        <x:v>plot coverage</x:v>
      </x:c>
      <x:c r="F442" s="8" t="str">
        <x:v>ze of 1000 sq.m. 04. Restaurants with a minimum Plot Size of 500 sq.m. 05. Libraries with minimum plot coverage 250 sq.m 06. Professional offices with a minimum Plot Size of 500 sq.m. 07. Consumer Services Centres with a minimum Plot Size of 500 sq.m. 08. Shops with a minimum Plot size of 250sq.m. 09. Religious places with a minimum plot Size of 1000 sq.m. 10. Pre school and daycare centers with a minimum Plot Size of 1000 sq.m 11. Community Centres. 12. Multi storied car parks – Minimum plot coverage 500 sq.ft. 13. Cafetaria – Minimum plot coverage 300 sq.ft. Minimum Plot Size 150sq.m (6 perch) Plot Coverage - FAR - Parking As per the schedule III in Vol. II Requirements i. Preliminary Planning Clearance shou || imum Plot Size of 1000 sq.m 11. Community Centres. 12. Multi storied car parks – Minimum plot coverage 500 sq.ft. 13. Cafetaria – Minimum plot coverage 300 sq.ft. Minimum Plot Size 150sq.m (6 perch) Plot Coverage - FAR - Parking As per the schedule III in Vol. II Requirements i. Preliminary Planning Clearance should be obtained from the Urban Development Authority. ii. Clearance should be obtain from secretary General of Parliament (If such requirement is mentioned in the planning clearance of the Urban Development Authority) iii. Adequate parking facilities shall be provided with in the site. iv. Such use will not hinder traffic movement or create traffic hazards. v. Such use is in harmony with t || Centres. 12. Multi storied car parks – Minimum plot coverage 500 sq.ft. 13. Cafetaria – Minimum plot coverage 300 sq.ft. Minimum Plot Size 150sq.m (6 perch) Plot Coverage - FAR - Parking As per the schedule III in Vol. II Requirements i. Preliminary Planning Clearance should be obtained from the Urban Development Authority. ii. Clearance should be obtain from secretary General of Parliament (If such requirement is mentioned in the planning clearance of the Urban Development Authority) iii. Adequate parking facilities shall be provided with in the site. iv. Such use will not hinder traffic movement or create traffic hazards. v. Such use is in harmony with the character of the area, will not interfe</x:v>
      </x:c>
      <x:c r="G442" s="8" t="str">
        <x:v>candidate_unreviewed</x:v>
      </x:c>
      <x:c r="H442" s="21" t="b">
        <x:v>0</x:v>
      </x:c>
      <x:c r="I442" s="8" t="str">
        <x:v>Keyword extraction only. Read page image and full context before promoting. English search cannot exclude Sinhala/Tamil or image-only content.</x:v>
      </x:c>
    </x:row>
    <x:row r="443" ht="630" customHeight="1">
      <x:c r="A443" s="11" t="str">
        <x:v>C00442</x:v>
      </x:c>
      <x:c r="B443" s="11" t="str">
        <x:v>SRC_0083</x:v>
      </x:c>
      <x:c r="C443" s="11" t="str">
        <x:v>Sri Jayawardenapura.zip::Sri Jayawardenapura/SJP_Volume I.pdf</x:v>
      </x:c>
      <x:c r="D443" s="22" t="n">
        <x:v>57</x:v>
      </x:c>
      <x:c r="E443" s="11" t="str">
        <x:v>plot coverage</x:v>
      </x:c>
      <x:c r="F443" s="11" t="str">
        <x:v>Zone Primary Residential Zone Permissible Uses 01. Residential buildings – Minimum plot coverage 150 sq.ft. 02. Hostels and guest houses with a minimum plot size 1000 sq.m 03. Consumer service centre with a minimum plot size of 300 sq.m and floor area 200 sq .m 04. Retail shops with a minimum plot size 250sq m 05. Places of public worship and public assembly buildings with a minimum Plot size 1000sq.m 06. Socio – Cultural Institutions and Community Centers with a minimum Plot Size of 300sq.m and floor area 150 sq.m. 07. Indoor amusement activity with a minimum Plot Size of 500 sq.m having. 08. Parks and Play ground. 09. Libraries – Minimum plot coverage 250 sq.m. 10. Professional offices wi || minimum Plot Size of 500 sq.m having. 08. Parks and Play ground. 09. Libraries – Minimum plot coverage 250 sq.m. 10. Professional offices with a minimum plot size of 300 sq.m. 11. Day care centers and pre - school with a minimum Plot Size of 1000 sq.m. 12. Restaurants with a minimum Plot Size of 500 sq.m. 13. Community Centres – Minimum plot coverage 300 sq.m. 14. Multi Storied Car Parks – Minimum plot coverage 500 sq.ft. 15. Cafeteria - Minimum plot coverage 300 sq.m. Minimum Plot Size 150sq.m. (6 perch) Plot Coverage As per the form "C" in Vol. II FAR As per the form "C" in Vol. II Parking As per the schedule III in Vol. II Requirements i. Adequate parking facilities shall be provided with in the site. ii. || sq.m. 12. Restaurants with a minimum Plot Size of 500 sq.m. 13. Community Centres – Minimum plot coverage 300 sq.m. 14. Multi Storied Car Parks – Minimum plot coverage 500 sq.ft. 15. Cafeteria - Minimum plot coverage 300 sq.m. Minimum Plot Size 150sq.m. (6 perch) Plot Coverage As per the form "C" in Vol. II FAR As per the form "C" in Vol. II Parking As per the schedule III in Vol. II Requirements i. Adequate parking facilities shall be provided with in the site. ii. Preliminary planning clearance shall be obtain from the UDA. iii. Such use will not hinder traffic movement or create traffic hazards. iv. Such use is in harmony with the character of the area, will not interfere with the amenity of the area or adve</x:v>
      </x:c>
      <x:c r="G443" s="11" t="str">
        <x:v>candidate_unreviewed</x:v>
      </x:c>
      <x:c r="H443" s="24" t="b">
        <x:v>0</x:v>
      </x:c>
      <x:c r="I443" s="11" t="str">
        <x:v>Keyword extraction only. Read page image and full context before promoting. English search cannot exclude Sinhala/Tamil or image-only content.</x:v>
      </x:c>
    </x:row>
    <x:row r="444" ht="224" customHeight="1">
      <x:c r="A444" s="8" t="str">
        <x:v>C00443</x:v>
      </x:c>
      <x:c r="B444" s="8" t="str">
        <x:v>SRC_0083</x:v>
      </x:c>
      <x:c r="C444" s="8" t="str">
        <x:v>Sri Jayawardenapura.zip::Sri Jayawardenapura/SJP_Volume I.pdf</x:v>
      </x:c>
      <x:c r="D444" s="18" t="n">
        <x:v>58</x:v>
      </x:c>
      <x:c r="E444" s="8" t="str">
        <x:v>plot coverage</x:v>
      </x:c>
      <x:c r="F444" s="8" t="str">
        <x:v>ground and open spaces. 20. Cafeteria – Minimum plot size 300 sq.m. Minimum Plot Size 150sq.m. Plot Coverage As per the “ C “ form in Vol. II FAR As per the “ C “ form in Vol. II Parking As per the schedule III in Vol. II. Requirements i. Existing road should be 12M in width for fuel filling station. ii. Adequate parking facilities shall be provided with in the site. iii. Such use shall not hinder traffic movement or create traffic hazards iv. Such use is in harmony with the character of the area, will not interfere with the amenity of the area or adversely affect the environment of the surrounding area through loss of privacy, pollution or in any other manner and it is not likely to cause</x:v>
      </x:c>
      <x:c r="G444" s="8" t="str">
        <x:v>candidate_unreviewed</x:v>
      </x:c>
      <x:c r="H444" s="21" t="b">
        <x:v>0</x:v>
      </x:c>
      <x:c r="I444" s="8" t="str">
        <x:v>Keyword extraction only. Read page image and full context before promoting. English search cannot exclude Sinhala/Tamil or image-only content.</x:v>
      </x:c>
    </x:row>
    <x:row r="445" ht="224" customHeight="1">
      <x:c r="A445" s="11" t="str">
        <x:v>C00444</x:v>
      </x:c>
      <x:c r="B445" s="11" t="str">
        <x:v>SRC_0083</x:v>
      </x:c>
      <x:c r="C445" s="11" t="str">
        <x:v>Sri Jayawardenapura.zip::Sri Jayawardenapura/SJP_Volume I.pdf</x:v>
      </x:c>
      <x:c r="D445" s="22" t="n">
        <x:v>59</x:v>
      </x:c>
      <x:c r="E445" s="11" t="str">
        <x:v>plot coverage</x:v>
      </x:c>
      <x:c r="F445" s="11" t="str">
        <x:v>size 1000sq.m. 24. Parks, Playgrounds and Open Spaces Minimum Plot Size 150sq.m. (6 Perches) Plot Coverage -As per the “C” form in volume II FAR -As per the “C” form in volume II Parking -As per the “C” form in volume II Requirement i. Relevant Clearances should be obtained as decided by the Planning Committee. ii. Adequate parking facilities shall be provided with in the site. iii. Such use shall not hinder traffic movement or create traffic hazards. iv. Such use is in harmony with the character of the area, will not interfere with the amenity of the area or adversely affect the environment of the surrounding area through loss of privacy, pollution or in any other manner and is not likely to c</x:v>
      </x:c>
      <x:c r="G445" s="11" t="str">
        <x:v>candidate_unreviewed</x:v>
      </x:c>
      <x:c r="H445" s="24" t="b">
        <x:v>0</x:v>
      </x:c>
      <x:c r="I445" s="11" t="str">
        <x:v>Keyword extraction only. Read page image and full context before promoting. English search cannot exclude Sinhala/Tamil or image-only content.</x:v>
      </x:c>
    </x:row>
    <x:row r="446" ht="224" customHeight="1">
      <x:c r="A446" s="8" t="str">
        <x:v>C00445</x:v>
      </x:c>
      <x:c r="B446" s="8" t="str">
        <x:v>SRC_0083</x:v>
      </x:c>
      <x:c r="C446" s="8" t="str">
        <x:v>Sri Jayawardenapura.zip::Sri Jayawardenapura/SJP_Volume I.pdf</x:v>
      </x:c>
      <x:c r="D446" s="18" t="n">
        <x:v>60</x:v>
      </x:c>
      <x:c r="E446" s="8" t="str">
        <x:v>plot coverage</x:v>
      </x:c>
      <x:c r="F446" s="8" t="str">
        <x:v>ental stores with a minimum Plot Size 1000 sq.m. Minimum Plot Size 150sq.m. (6 perch) Plot Coverage As per the form “ C “ in Vol. II FAR As per the form “ C “ in Vol. II Parking Parking facilities should be provided with in the site. Requirements i . Adequate parking facilities shall be provided with in the site. ii . Such use will not hinder traffic movement or create Traffic hazard iii. Such use is in harmony with the character of the area, will Not interfere with the amenity of the area or adversely. Affect the environment of the surrounding area through loss of privacy, pollution or any other manner and is not likely to cause nuisance. iv. The extent of the site is adequate for the use, sufficient a</x:v>
      </x:c>
      <x:c r="G446" s="8" t="str">
        <x:v>candidate_unreviewed</x:v>
      </x:c>
      <x:c r="H446" s="21" t="b">
        <x:v>0</x:v>
      </x:c>
      <x:c r="I446" s="8" t="str">
        <x:v>Keyword extraction only. Read page image and full context before promoting. English search cannot exclude Sinhala/Tamil or image-only content.</x:v>
      </x:c>
    </x:row>
    <x:row r="447" ht="224" customHeight="1">
      <x:c r="A447" s="11" t="str">
        <x:v>C00446</x:v>
      </x:c>
      <x:c r="B447" s="11" t="str">
        <x:v>SRC_0083</x:v>
      </x:c>
      <x:c r="C447" s="11" t="str">
        <x:v>Sri Jayawardenapura.zip::Sri Jayawardenapura/SJP_Volume I.pdf</x:v>
      </x:c>
      <x:c r="D447" s="22" t="n">
        <x:v>61</x:v>
      </x:c>
      <x:c r="E447" s="11" t="str">
        <x:v>plot coverage</x:v>
      </x:c>
      <x:c r="F447" s="11" t="str">
        <x:v>1. Restaurant – minimum plot size 300 sq.m. Minimum Plot Size As per the form “C“ in vol. II Plot Coverage As per the form “C“ in vol. II FAR As per the form “C“ in vol. II Parking As per the Schedule III in vol. II Requirements i. Preliminary Planning Clearance should be obtained from Urban Development Authority for Lot facing Sri Jayewerdenapura Mawatha ii. Adequate parking facilities shall be provided within the site. iii. Such use will not hinder traffic movement or create traffic hazards. iv. Such use is in harmony with the character of the area, will not interfere with the amenity of the area or adversely affect the environment of the surrounding area through loss of privacy, pollutio</x:v>
      </x:c>
      <x:c r="G447" s="11" t="str">
        <x:v>candidate_unreviewed</x:v>
      </x:c>
      <x:c r="H447" s="24" t="b">
        <x:v>0</x:v>
      </x:c>
      <x:c r="I447" s="11" t="str">
        <x:v>Keyword extraction only. Read page image and full context before promoting. English search cannot exclude Sinhala/Tamil or image-only content.</x:v>
      </x:c>
    </x:row>
    <x:row r="448" ht="420" customHeight="1">
      <x:c r="A448" s="8" t="str">
        <x:v>C00447</x:v>
      </x:c>
      <x:c r="B448" s="8" t="str">
        <x:v>SRC_0083</x:v>
      </x:c>
      <x:c r="C448" s="8" t="str">
        <x:v>Sri Jayawardenapura.zip::Sri Jayawardenapura/SJP_Volume I.pdf</x:v>
      </x:c>
      <x:c r="D448" s="18" t="n">
        <x:v>62</x:v>
      </x:c>
      <x:c r="E448" s="8" t="str">
        <x:v>plot coverage</x:v>
      </x:c>
      <x:c r="F448" s="8" t="str">
        <x:v>12. Other Sales Centres – minimum plot size 300 sq.m. Minimum Plot Size 150sq.m. (6 perches) Plot Coverage As per the form “ C “ in Vol. II FAR As per the form “ C “ in Vol. II Parking As per the schedule III in Vol. II Requirements i. Adequate parking facilities shall be provided with in the site. ii. Such use will not hinder traffic movement or create traffic hazards. iii. Such use is in harmony with the character of the area, will not interfere with the amenity of the area or adversely affect the environment of the surrounding area through loss of privacy, pollution or any other manner and is not likely to cause nuisance. iv. The extent of the site is adequate for the use, sufficient arrangeme || Transport 8. Water Retention and Detention Areas Minimum Plot Size 4h (10 Acres ) FAR Plot Coverage 1% Parking Requirements i. Preliminary planning Clearance shall be obtained from the UDA ii Retention area should be maintained as approved in the Master Plan by the SLLR &amp; DC. iii. Permitted maximum area for filling 2%. iv. Maximum building height 7m from existing natural ground level. v. Subdivision of land will not be permitted for building Development vi. Maximum area of 4% is permitted for infrastructure. vii. Area of scenic landscape/Cultural features should be conserved viii. Environmental clearance license shall be obtained from the CEA or relevant Local Authority. ix. Building shall b</x:v>
      </x:c>
      <x:c r="G448" s="8" t="str">
        <x:v>candidate_unreviewed</x:v>
      </x:c>
      <x:c r="H448" s="21" t="b">
        <x:v>0</x:v>
      </x:c>
      <x:c r="I448" s="8" t="str">
        <x:v>Keyword extraction only. Read page image and full context before promoting. English search cannot exclude Sinhala/Tamil or image-only content.</x:v>
      </x:c>
    </x:row>
    <x:row r="449" ht="168" customHeight="1">
      <x:c r="A449" s="11" t="str">
        <x:v>C00448</x:v>
      </x:c>
      <x:c r="B449" s="11" t="str">
        <x:v>SRC_0083</x:v>
      </x:c>
      <x:c r="C449" s="11" t="str">
        <x:v>Sri Jayawardenapura.zip::Sri Jayawardenapura/SJP_Volume I.pdf</x:v>
      </x:c>
      <x:c r="D449" s="22" t="n">
        <x:v>63</x:v>
      </x:c>
      <x:c r="E449" s="11" t="str">
        <x:v>plot coverage</x:v>
      </x:c>
      <x:c r="F449" s="11" t="str">
        <x:v>val if required. 15. Flood retention / Flood detention area. Minimum Plot Size 2h ( 05Acres ) Plot Coverage 3% FAR Parking Requirements i. Preliminary planning Clearance shall be obtain from UDA. ii. Retention area should be maintained as approved in the Master plan by the SLLR &amp; DC. iii. Environmental license should be obtained from CEA or relevant Local Authority. iv. Permitted maximum area for filling is 5% for infrastructure facilities. v. Outstanding landscape/ cultural features should be conserved. 56</x:v>
      </x:c>
      <x:c r="G449" s="11" t="str">
        <x:v>candidate_unreviewed</x:v>
      </x:c>
      <x:c r="H449" s="24" t="b">
        <x:v>0</x:v>
      </x:c>
      <x:c r="I449" s="11" t="str">
        <x:v>Keyword extraction only. Read page image and full context before promoting. English search cannot exclude Sinhala/Tamil or image-only content.</x:v>
      </x:c>
    </x:row>
    <x:row r="450" ht="224" customHeight="1">
      <x:c r="A450" s="8" t="str">
        <x:v>C00449</x:v>
      </x:c>
      <x:c r="B450" s="8" t="str">
        <x:v>SRC_0084</x:v>
      </x:c>
      <x:c r="C450" s="8" t="str">
        <x:v>Sri Jayawardenapura.zip::Sri Jayawardenapura/SJP_Volume II Part I.pdf</x:v>
      </x:c>
      <x:c r="D450" s="18" t="n">
        <x:v>7</x:v>
      </x:c>
      <x:c r="E450" s="8" t="str">
        <x:v>staircase</x:v>
      </x:c>
      <x:c r="F450" s="8" t="str">
        <x:v>o carry; (iv) dimensions in figures of the building and all rooms, compartments, corridors, staircases, verandas and roof terraces and the thickness of the walls and columns thereof; (v) dimensions in figures of the clear areas of every air-well, back-yard, court-yard and open spaces in and around the building and the distances from the external walls of the building to the centre line and side of every street, road reservation, and drainage reserve within the lot or adjoining thereto; (vi) dimensions in figures of spaces between all walls, piers and stanchions; (vii) the positions of all sanitary appliances, vent pipes and floor traps and their connections to drain lines; (viii) all the li</x:v>
      </x:c>
      <x:c r="G450" s="8" t="str">
        <x:v>candidate_unreviewed</x:v>
      </x:c>
      <x:c r="H450" s="21" t="b">
        <x:v>0</x:v>
      </x:c>
      <x:c r="I450" s="8" t="str">
        <x:v>Keyword extraction only. Read page image and full context before promoting. English search cannot exclude Sinhala/Tamil or image-only content.</x:v>
      </x:c>
    </x:row>
    <x:row r="451" ht="224" customHeight="1">
      <x:c r="A451" s="11" t="str">
        <x:v>C00450</x:v>
      </x:c>
      <x:c r="B451" s="11" t="str">
        <x:v>SRC_0084</x:v>
      </x:c>
      <x:c r="C451" s="11" t="str">
        <x:v>Sri Jayawardenapura.zip::Sri Jayawardenapura/SJP_Volume II Part I.pdf</x:v>
      </x:c>
      <x:c r="D451" s="22" t="n">
        <x:v>23</x:v>
      </x:c>
      <x:c r="E451" s="11" t="str">
        <x:v>staircase</x:v>
      </x:c>
      <x:c r="F451" s="11" t="str">
        <x:v>(7) The exit from a building other than a private dwelling house and every door opening on to a staircase of the Building and all other means of fire- escape which are provided therein in accordance with the Code of Fire Precautions for Buildings shall, except where otherwise required by the Fire Chief, not be locked or obstructed whilst the building or a part thereof is being used or occupied. 27. The owner, occupier or developer of a building or part thereof or, if the building or part thereof is part of a housing development or any other building development, the developer shall if he, without any reasonable cause, contravenes or fails to comply with the provision of regulation 20 or paragraph (2) of regulation 26 be guilty of</x:v>
      </x:c>
      <x:c r="G451" s="11" t="str">
        <x:v>candidate_unreviewed</x:v>
      </x:c>
      <x:c r="H451" s="24" t="b">
        <x:v>0</x:v>
      </x:c>
      <x:c r="I451" s="11" t="str">
        <x:v>Keyword extraction only. Read page image and full context before promoting. English search cannot exclude Sinhala/Tamil or image-only content.</x:v>
      </x:c>
    </x:row>
    <x:row r="452" ht="420" customHeight="1">
      <x:c r="A452" s="8" t="str">
        <x:v>C00451</x:v>
      </x:c>
      <x:c r="B452" s="8" t="str">
        <x:v>SRC_0084</x:v>
      </x:c>
      <x:c r="C452" s="8" t="str">
        <x:v>Sri Jayawardenapura.zip::Sri Jayawardenapura/SJP_Volume II Part I.pdf</x:v>
      </x:c>
      <x:c r="D452" s="18" t="n">
        <x:v>29</x:v>
      </x:c>
      <x:c r="E452" s="8" t="str">
        <x:v>light and ventilation, minimum width</x:v>
      </x:c>
      <x:c r="F452" s="8" t="str">
        <x:v>(5) No new sub-division shall have the effect of reducing the open space, light and ventilation and other requirements of any existing building on a site to less than those required under this Regulation. (6) No lot in a sub-division plan shall be utilised for any purpose other than the purpose for which it was approved. (7) In the case of a subdivision of land for the purpose of accommodating a Condominium Development, the size of such lots shall be as per this regulation. This requirement shall not be applicable for lots allocated for common elements. 33. Every lot in a sub-division shall abut to an existing or proposed street or a street in accordance with the provisions of paragraphs (b), (c) an || t in accordance with the provisions of paragraphs (b), (c) and (d) of this Regulation. (a) The minimum width of a carriageway reservation for the street shall be as approved by the Authority but in no case shall be less than 3.6 metres. (b) No site or lot abutting a street less than 9.0 metres in width, shall be used for non-residential use or construction of any building for such use except as provided under regulation 34 of this Regulation.. (c) The width of private roads, in a new sub-division or parcelling of land in all land use zones, other than in special Residential and Residential Zone, in volume-I shall be not less than 9.0 metres. This requirement is not applicable for residential sub divisions. (d)</x:v>
      </x:c>
      <x:c r="G452" s="8" t="str">
        <x:v>candidate_unreviewed</x:v>
      </x:c>
      <x:c r="H452" s="21" t="b">
        <x:v>0</x:v>
      </x:c>
      <x:c r="I452" s="8" t="str">
        <x:v>Keyword extraction only. Read page image and full context before promoting. English search cannot exclude Sinhala/Tamil or image-only content.</x:v>
      </x:c>
    </x:row>
    <x:row r="453" ht="308" customHeight="1">
      <x:c r="A453" s="11" t="str">
        <x:v>C00452</x:v>
      </x:c>
      <x:c r="B453" s="11" t="str">
        <x:v>SRC_0084</x:v>
      </x:c>
      <x:c r="C453" s="11" t="str">
        <x:v>Sri Jayawardenapura.zip::Sri Jayawardenapura/SJP_Volume II Part I.pdf</x:v>
      </x:c>
      <x:c r="D453" s="22" t="n">
        <x:v>31</x:v>
      </x:c>
      <x:c r="E453" s="11" t="str">
        <x:v>minimum width</x:v>
      </x:c>
      <x:c r="F453" s="11" t="str">
        <x:v>reduced on the recommendations of the Planning Committee subject to the following: (i) A minimum width of less than 10 ft. is available for access (ii) This reduction will not apply in case of a new sub-division. (iii) If the settlements are of Low Income character. (b) Every such street shall connect on to a public street or a private street for which the owner of such private street has a right of way which connects on to a public street having a width not less than 9m. 1 Maximum Extent of Land (Square Metres) 3 Minimum Width of Street (Metres) 4 Maximum Length of Street (Metres) 500 Where the street serves more than 1 lot or site but not more than 4 lots 6.0 50 2500 Where the street serves o || a public street having a width not less than 9m. 1 Maximum Extent of Land (Square Metres) 3 Minimum Width of Street (Metres) 4 Maximum Length of Street (Metres) 500 Where the street serves more than 1 lot or site but not more than 4 lots 6.0 50 2500 Where the street serves only one lot or site 6.0 150</x:v>
      </x:c>
      <x:c r="G453" s="11" t="str">
        <x:v>candidate_unreviewed</x:v>
      </x:c>
      <x:c r="H453" s="24" t="b">
        <x:v>0</x:v>
      </x:c>
      <x:c r="I453" s="11" t="str">
        <x:v>Keyword extraction only. Read page image and full context before promoting. English search cannot exclude Sinhala/Tamil or image-only content.</x:v>
      </x:c>
    </x:row>
    <x:row r="454" ht="392" customHeight="1">
      <x:c r="A454" s="8" t="str">
        <x:v>C00453</x:v>
      </x:c>
      <x:c r="B454" s="8" t="str">
        <x:v>SRC_0084</x:v>
      </x:c>
      <x:c r="C454" s="8" t="str">
        <x:v>Sri Jayawardenapura.zip::Sri Jayawardenapura/SJP_Volume II Part I.pdf</x:v>
      </x:c>
      <x:c r="D454" s="18" t="n">
        <x:v>36</x:v>
      </x:c>
      <x:c r="E454" s="8" t="str">
        <x:v>minimum width</x:v>
      </x:c>
      <x:c r="F454" s="8" t="str">
        <x:v>rwise directed by the Authority. 38.(1)(a) The minimum extent, number of floors, road widths, minimum width of plots and open space around the building shall be in conformity with the specifications set out in Annexure I of Form “C” below unless the Authority stipulates a higher or lower minimum extent and/or higher or lower width of lots in a development plan. (b) Every lot or site which abuts on to end of a dead end street may have a frontage less than the width specified in Annexure I of Form “C” above, but have a frontage which is not less than 3.0 metres in width perpendicular to the line along the street. (c) The Authority may relax the requirements of the specified site extent and width, || xceed the height of 8.0 metres or two floors unless the Authority direct otherwise. (e) Minimum width of site, open spaces around buildings, road widths and F.A.R. requirements specified in Form “C” Annexure I may be reconsidered for lots in extent of more than 1000Sq.m. on case by case basis by the “Chairman” in consultation with the Planning Committee of the Urban Development Authority having undertaken an in-depth study of the surrounding development pattern, future development scenarios, character of urban fabric, use of particular building, location and other related factors.</x:v>
      </x:c>
      <x:c r="G454" s="8" t="str">
        <x:v>candidate_unreviewed</x:v>
      </x:c>
      <x:c r="H454" s="21" t="b">
        <x:v>0</x:v>
      </x:c>
      <x:c r="I454" s="8" t="str">
        <x:v>Keyword extraction only. Read page image and full context before promoting. English search cannot exclude Sinhala/Tamil or image-only content.</x:v>
      </x:c>
    </x:row>
    <x:row r="455" ht="210" customHeight="1">
      <x:c r="A455" s="11" t="str">
        <x:v>C00454</x:v>
      </x:c>
      <x:c r="B455" s="11" t="str">
        <x:v>SRC_0084</x:v>
      </x:c>
      <x:c r="C455" s="11" t="str">
        <x:v>Sri Jayawardenapura.zip::Sri Jayawardenapura/SJP_Volume II Part I.pdf</x:v>
      </x:c>
      <x:c r="D455" s="22" t="n">
        <x:v>38</x:v>
      </x:c>
      <x:c r="E455" s="11" t="str">
        <x:v>plot coverage</x:v>
      </x:c>
      <x:c r="F455" s="11" t="str">
        <x:v>nge of use of such building taking into account its surrounding development pattern, existing plot coverage, width of the access road, zoning categorisation and availability of amenities with a view to facilitate maintenance and conservation of such properties. (f). There shall be no display of advertising board, erection of antenna mast, construction of exhibition stalls / telephone booths etc., undertaken without prior approval of the authority. Depending on the circumstances the authority may impose conditions on these activities. Any such activity found to be not in conformity shall be removed as per the applicable Law as may be decided by the authority.</x:v>
      </x:c>
      <x:c r="G455" s="11" t="str">
        <x:v>candidate_unreviewed</x:v>
      </x:c>
      <x:c r="H455" s="24" t="b">
        <x:v>0</x:v>
      </x:c>
      <x:c r="I455" s="11" t="str">
        <x:v>Keyword extraction only. Read page image and full context before promoting. English search cannot exclude Sinhala/Tamil or image-only content.</x:v>
      </x:c>
    </x:row>
    <x:row r="456" ht="154" customHeight="1">
      <x:c r="A456" s="8" t="str">
        <x:v>C00455</x:v>
      </x:c>
      <x:c r="B456" s="8" t="str">
        <x:v>SRC_0084</x:v>
      </x:c>
      <x:c r="C456" s="8" t="str">
        <x:v>Sri Jayawardenapura.zip::Sri Jayawardenapura/SJP_Volume II Part I.pdf</x:v>
      </x:c>
      <x:c r="D456" s="18" t="n">
        <x:v>39</x:v>
      </x:c>
      <x:c r="E456" s="8" t="str">
        <x:v>plot coverage</x:v>
      </x:c>
      <x:c r="F456" s="8" t="str">
        <x:v>on sides (M)** Space Total On side (M) Set back in Front (M) Plot Coverage (except Educational &amp; Health Services) Resi. Non. Resi. 2(G+1) 3(G+2) 4(G+3) 2.3 3.0 3.0 - - - - - - 01* 01* 01* 65% 65% 65% 80% 80% 80% 5(G+4) 6(G+5) 7(G+6) 8(G+7) 3.5 4.0 4.0 5.0 1.5 1.5 2.0 2.0 01 01 02 02 65% 65% 65% 65% 80% 80% 80% 80% 9(G+8) 10(G+9) 11(G+10) 12(G+11) 5.0 6.0 6.0 6.5 6.0 6.0 6.0 9.0 3.0 3.0 4.0 40 03 03 04 06 60% 60% 60% 50% 60% 60% 60% 50% 13 &amp; above 10.0 9.0 6.5 50% 50%</x:v>
      </x:c>
      <x:c r="G456" s="8" t="str">
        <x:v>candidate_unreviewed</x:v>
      </x:c>
      <x:c r="H456" s="21" t="b">
        <x:v>0</x:v>
      </x:c>
      <x:c r="I456" s="8" t="str">
        <x:v>Keyword extraction only. Read page image and full context before promoting. English search cannot exclude Sinhala/Tamil or image-only content.</x:v>
      </x:c>
    </x:row>
    <x:row r="457" ht="280" customHeight="1">
      <x:c r="A457" s="11" t="str">
        <x:v>C00456</x:v>
      </x:c>
      <x:c r="B457" s="11" t="str">
        <x:v>SRC_0084</x:v>
      </x:c>
      <x:c r="C457" s="11" t="str">
        <x:v>Sri Jayawardenapura.zip::Sri Jayawardenapura/SJP_Volume II Part I.pdf</x:v>
      </x:c>
      <x:c r="D457" s="22" t="n">
        <x:v>41</x:v>
      </x:c>
      <x:c r="E457" s="11" t="str">
        <x:v>minimum width, stair case</x:v>
      </x:c>
      <x:c r="F457" s="11" t="str">
        <x:v>ing abuts in its entirety on to a public street or a private street having legal right of way with minimum width of 6 m. (3) In sites of irregular shapes where it is impracticable to provide an open space to the entire width of the rear, the Authority may direct that the open space of the rear shall be left as it deems appropriate, having considered the circumstances of the case. In the rear space, the Authority may allow construction of an open well or spiral stair case to be used as an emergency means of escape provided that such components shall not obstruct the sources of natural light &amp; ventilation to the building at the premises. || of the case. In the rear space, the Authority may allow construction of an open well or spiral stair case to be used as an emergency means of escape provided that such components shall not obstruct the sources of natural light &amp; ventilation to the building at the premises.</x:v>
      </x:c>
      <x:c r="G457" s="11" t="str">
        <x:v>candidate_unreviewed</x:v>
      </x:c>
      <x:c r="H457" s="24" t="b">
        <x:v>0</x:v>
      </x:c>
      <x:c r="I457" s="11" t="str">
        <x:v>Keyword extraction only. Read page image and full context before promoting. English search cannot exclude Sinhala/Tamil or image-only content.</x:v>
      </x:c>
    </x:row>
    <x:row r="458" ht="588" customHeight="1">
      <x:c r="A458" s="8" t="str">
        <x:v>C00457</x:v>
      </x:c>
      <x:c r="B458" s="8" t="str">
        <x:v>SRC_0084</x:v>
      </x:c>
      <x:c r="C458" s="8" t="str">
        <x:v>Sri Jayawardenapura.zip::Sri Jayawardenapura/SJP_Volume II Part I.pdf</x:v>
      </x:c>
      <x:c r="D458" s="18" t="n">
        <x:v>43</x:v>
      </x:c>
      <x:c r="E458" s="8" t="str">
        <x:v>habitable room, minimum width</x:v>
      </x:c>
      <x:c r="F458" s="8" t="str">
        <x:v>43 Offences Minimum width of buildings Height of Building Minimum area of rooms in residential buildings 46. Whenever an open space, footway or access has been provided in connection with any building in pursuance of the provisions of these Regulations or any other Law or any Regulations made there under, it shall be an offence under these Regulations - (a) to carry out or maintain, or permit to carry out or maintain any alteration in the open space, footway or access; (b) to construct or maintain, or permit to construct or maintain a roof over any portion thereof so as to diminish the area of the open spa || Space inside Buildings 47. Every new row house, shop building or other building shall have a minimum width of 6.0m measured between the centres of party or external walls or partition and external walls at ground level, except that the minimum width for a new building to be erected on a corner site may be 4.5 m. 48. Height of building and the number of storeys that it may comprise shall be in accordance with the provisions of Regulation 37 Form “C”, (except for rooms required for accommodating essential building services i.e., lift well, stair well, water tank, swimming pools, changing room, utility room etc., not exceeding 10% of the Floor Area. 49. The area of any habitable room in a residential building shall be not less || ntres of party or external walls or partition and external walls at ground level, except that the minimum width for a new building to be erected on a corner site may be 4.5 m. 48. Height of building and the number of storeys that it may comprise shall be in accordance with the provisions of Regulation 37 Form “C”, (except for rooms required for accommodating essential building services i.e., lift well, stair well, water tank, swimming pools, changing room, utility room etc., not exceeding 10% of the Floor Area. 49. The area of any habitable room in a residential building shall be not less than 8.0 square meters with a minimum clear width of 2.5 m between walls except -</x:v>
      </x:c>
      <x:c r="G458" s="8" t="str">
        <x:v>candidate_unreviewed</x:v>
      </x:c>
      <x:c r="H458" s="21" t="b">
        <x:v>0</x:v>
      </x:c>
      <x:c r="I458" s="8" t="str">
        <x:v>Keyword extraction only. Read page image and full context before promoting. English search cannot exclude Sinhala/Tamil or image-only content.</x:v>
      </x:c>
    </x:row>
    <x:row r="459" ht="588" customHeight="1">
      <x:c r="A459" s="11" t="str">
        <x:v>C00458</x:v>
      </x:c>
      <x:c r="B459" s="11" t="str">
        <x:v>SRC_0084</x:v>
      </x:c>
      <x:c r="C459" s="11" t="str">
        <x:v>Sri Jayawardenapura.zip::Sri Jayawardenapura/SJP_Volume II Part I.pdf</x:v>
      </x:c>
      <x:c r="D459" s="22" t="n">
        <x:v>44</x:v>
      </x:c>
      <x:c r="E459" s="11" t="str">
        <x:v>bathroom, bedroom</x:v>
      </x:c>
      <x:c r="F459" s="11" t="str">
        <x:v>44 Minimum dimensions of lavatories, water closets and bathrooms Height of rooms in residential buildings (a) a kitchen which shall have a minimum area of 5.0 square meters with a minimum clear width of 1.8 m between walls; (b) a store or utility room which shall have an area of not more than 2.5 square metres. (c) any room specified in regulation 50. 50. for all buildings the sizes of lavatories, water closets and bathrooms shall be - (a) in the case of a water-closet or lavatory with pedestal type closet fittings, minimum dimension to be 1.7 m x 0.8m. (b) in the case of a water - closet or lavatory with fittings other || m specified in regulation 50. 50. for all buildings the sizes of lavatories, water closets and bathrooms shall be - (a) in the case of a water-closet or lavatory with pedestal type closet fittings, minimum dimension to be 1.7 m x 0.8m. (b) in the case of a water - closet or lavatory with fittings other than pedestal type closet fittings, minimum dimension to be 1.3 m x 0.8 m. (c) in the case of a bathroom area not less than 1.5 square meters with a width of not less than 0.8 m; and (d). in the case of a bathroom with closet fittings, not less than 2.8 square meters with a minimum dimension of 1.7 m x 0.8 m. 51. (1) The height of rooms in residential buildings shall be - (a) not less than 2.8m average wi || edestal type closet fittings, minimum dimension to be 1.3 m x 0.8 m. (c) in the case of a bathroom area not less than 1.5 square meters with a width of not less than 0.8 m; and (d). in the case of a bathroom with closet fittings, not less than 2.8 square meters with a minimum dimension of 1.7 m x 0.8 m. 51. (1) The height of rooms in residential buildings shall be - (a) not less than 2.8m average with not less than 2.4m at the lowest point for living rooms and bedrooms. (b) not less than 2.8m average with not less than 2.4m at the lowest point for kitchens (c) Not less than 2.2 m. for bathrooms, lavatories, water-closets, porches, balconies, terraces and garages</x:v>
      </x:c>
      <x:c r="G459" s="11" t="str">
        <x:v>candidate_unreviewed</x:v>
      </x:c>
      <x:c r="H459" s="24" t="b">
        <x:v>0</x:v>
      </x:c>
      <x:c r="I459" s="11" t="str">
        <x:v>Keyword extraction only. Read page image and full context before promoting. English search cannot exclude Sinhala/Tamil or image-only content.</x:v>
      </x:c>
    </x:row>
    <x:row r="460" ht="392" customHeight="1">
      <x:c r="A460" s="8" t="str">
        <x:v>C00459</x:v>
      </x:c>
      <x:c r="B460" s="8" t="str">
        <x:v>SRC_0084</x:v>
      </x:c>
      <x:c r="C460" s="8" t="str">
        <x:v>Sri Jayawardenapura.zip::Sri Jayawardenapura/SJP_Volume II Part I.pdf</x:v>
      </x:c>
      <x:c r="D460" s="18" t="n">
        <x:v>47</x:v>
      </x:c>
      <x:c r="E460" s="8" t="str">
        <x:v>light and ventilation</x:v>
      </x:c>
      <x:c r="F460" s="8" t="str">
        <x:v>sources of natural light and ventilation Light and Ventilation 53. Every building shall be provided with - (a) natural lighting by means of glazed windows, skylights, fanlights, doors or other approved natural light transmitting media; (b) natural ventilation by means of windows, skylights, fanlights, doors, louvers or ventilation openings. 54. (1) In a building the windows and openings through which natural light and ventilation can be obtained shall be so located that- (a) they face and open upon- i. the sky; ii. A public road or a street with right of way or public open space dedicated purely for public use. ii || ntilation openings. 54. (1) In a building the windows and openings through which natural light and ventilation can be obtained shall be so located that- (a) they face and open upon- i. the sky; ii. A public road or a street with right of way or public open space dedicated purely for public use. iii. a courtyard or open space located within the building lot and complying with the relevant provision, of regulation 38 or 39 as the case may be; iv. an air well complying with the requirements of regulation 59 (b) in the case of a building other than that specified in sub-paragraph (c), no part of the room served by such sources shall be more than 10m away from such o</x:v>
      </x:c>
      <x:c r="G460" s="8" t="str">
        <x:v>candidate_unreviewed</x:v>
      </x:c>
      <x:c r="H460" s="21" t="b">
        <x:v>0</x:v>
      </x:c>
      <x:c r="I460" s="8" t="str">
        <x:v>Keyword extraction only. Read page image and full context before promoting. English search cannot exclude Sinhala/Tamil or image-only content.</x:v>
      </x:c>
    </x:row>
    <x:row r="461" ht="224" customHeight="1">
      <x:c r="A461" s="11" t="str">
        <x:v>C00460</x:v>
      </x:c>
      <x:c r="B461" s="11" t="str">
        <x:v>SRC_0084</x:v>
      </x:c>
      <x:c r="C461" s="11" t="str">
        <x:v>Sri Jayawardenapura.zip::Sri Jayawardenapura/SJP_Volume II Part I.pdf</x:v>
      </x:c>
      <x:c r="D461" s="22" t="n">
        <x:v>48</x:v>
      </x:c>
      <x:c r="E461" s="11" t="str">
        <x:v>light and ventilation</x:v>
      </x:c>
      <x:c r="F461" s="11" t="str">
        <x:v>ng or other natural ventilation device in the roof of the room. (2) Sources of natural light and ventilation may open upon an enclosed or partly enclosed balcony, veranda or porch if – (a) such balcony, veranda or porch faces upon a street or service road or upon a courtyard or open space which is located upon the building lot and complies with the relevant requirements of regulations 38, .......and 54 (1). (b) the maximum depth of the room served by such sources does not exceed 10 m measured from the outer face of the enclosure wall of the balcony, veranda or porch; and (c) the front of the balcony, veranda or porch has an opening to external air, the area of which shall be at least 75 per cent of the floor</x:v>
      </x:c>
      <x:c r="G461" s="11" t="str">
        <x:v>candidate_unreviewed</x:v>
      </x:c>
      <x:c r="H461" s="24" t="b">
        <x:v>0</x:v>
      </x:c>
      <x:c r="I461" s="11" t="str">
        <x:v>Keyword extraction only. Read page image and full context before promoting. English search cannot exclude Sinhala/Tamil or image-only content.</x:v>
      </x:c>
    </x:row>
    <x:row r="462" ht="140" customHeight="1">
      <x:c r="A462" s="8" t="str">
        <x:v>C00461</x:v>
      </x:c>
      <x:c r="B462" s="8" t="str">
        <x:v>SRC_0084</x:v>
      </x:c>
      <x:c r="C462" s="8" t="str">
        <x:v>Sri Jayawardenapura.zip::Sri Jayawardenapura/SJP_Volume II Part I.pdf</x:v>
      </x:c>
      <x:c r="D462" s="18" t="n">
        <x:v>49</x:v>
      </x:c>
      <x:c r="E462" s="8" t="str">
        <x:v>bathroom</x:v>
      </x:c>
      <x:c r="F462" s="8" t="str">
        <x:v>free uninterrupted passage of air, if such room is a water-closet, latrine, urinal, bathroom, toilet or laundry room; or, ii. A ventilation duct open to sky having an area not less than 1 Sq.m. with minimum depth of 1 m perpendicular to the plane of the opening of water closet, toilet or Bathroom. || inimum depth of 1 m perpendicular to the plane of the opening of water closet, toilet or Bathroom.</x:v>
      </x:c>
      <x:c r="G462" s="8" t="str">
        <x:v>candidate_unreviewed</x:v>
      </x:c>
      <x:c r="H462" s="21" t="b">
        <x:v>0</x:v>
      </x:c>
      <x:c r="I462" s="8" t="str">
        <x:v>Keyword extraction only. Read page image and full context before promoting. English search cannot exclude Sinhala/Tamil or image-only content.</x:v>
      </x:c>
    </x:row>
    <x:row r="463" ht="602" customHeight="1">
      <x:c r="A463" s="11" t="str">
        <x:v>C00462</x:v>
      </x:c>
      <x:c r="B463" s="11" t="str">
        <x:v>SRC_0084</x:v>
      </x:c>
      <x:c r="C463" s="11" t="str">
        <x:v>Sri Jayawardenapura.zip::Sri Jayawardenapura/SJP_Volume II Part I.pdf</x:v>
      </x:c>
      <x:c r="D463" s="22" t="n">
        <x:v>50</x:v>
      </x:c>
      <x:c r="E463" s="11" t="str">
        <x:v>minimum width, staircase</x:v>
      </x:c>
      <x:c r="F463" s="11" t="str">
        <x:v>50 Schools Hospitals Staircase, corridors and lobby Parking Factories, warehouses and godowns Lifts Terrace houses (e) 20% of the floor space of the room of which at least 50% shall be open-able or permanently open so as to allow free uninterrupted passage of air, if such room is used for the dissemination of knowledge as a school or teaching space (g) 20 % of the floor space of the room shall be fully open able or permanently open so as to allow free uninterrupted passage of air, if such room is used for the accommodation of patients in a hospital, convalescence home, nursing home or the like; (h || e, nursing home or the like; (h) i 10% of the floor area per floor in the case of an enclosed staircase, corridor or lobby of which 50 % shall be openable or permanently open so as to allow a free uninterrupted passage of air except as required under the provisions of the Code of Fire Precautions for Buildings. ii The minimum width of stairs and the minimum dimensions of treads and risers shall be as specified in Form F of Schedule 3. (i) i 10% of the floor space of the room of which at least 50% shall be openable or permanently open so as to allow free uninterrupted passage of air, ii The dimension of parking stalls of vehicles shall be as specified in Form C(1) Schedule 3. The minimum width of aisles shall conform to || xcept as required under the provisions of the Code of Fire Precautions for Buildings. ii The minimum width of stairs and the minimum dimensions of treads and risers shall be as specified in Form F of Schedule 3. (i) i 10% of the floor space of the room of which at least 50% shall be openable or permanently open so as to allow free uninterrupted passage of air, ii The dimension of parking stalls of vehicles shall be as specified in Form C(1) Schedule 3. The minimum width of aisles shall conform to the requirements specified in Form C Schedule 3. (j) 10% of the floor space of the room of which at least 50 per cent shall be openable or permanently open so as to allow free uninterrupted passage of air, if such room is used as</x:v>
      </x:c>
      <x:c r="G463" s="11" t="str">
        <x:v>candidate_unreviewed</x:v>
      </x:c>
      <x:c r="H463" s="24" t="b">
        <x:v>0</x:v>
      </x:c>
      <x:c r="I463" s="11" t="str">
        <x:v>Keyword extraction only. Read page image and full context before promoting. English search cannot exclude Sinhala/Tamil or image-only content.</x:v>
      </x:c>
    </x:row>
    <x:row r="464" ht="588" customHeight="1">
      <x:c r="A464" s="8" t="str">
        <x:v>C00463</x:v>
      </x:c>
      <x:c r="B464" s="8" t="str">
        <x:v>SRC_0084</x:v>
      </x:c>
      <x:c r="C464" s="8" t="str">
        <x:v>Sri Jayawardenapura.zip::Sri Jayawardenapura/SJP_Volume II Part I.pdf</x:v>
      </x:c>
      <x:c r="D464" s="18" t="n">
        <x:v>51</x:v>
      </x:c>
      <x:c r="E464" s="8" t="str">
        <x:v>light and ventilation, plot coverage</x:v>
      </x:c>
      <x:c r="F464" s="8" t="str">
        <x:v>Basement Rooms Provisions of air-wells Or courtyards for the Purpose of natural light and ventilation Plot Coverage and F.A.R. 57. For the purpose of determining light and ventilation requirements, any room may be considered as a portion of an adjoining room when half of the area of the common wall is open and unobstructed 58. When any room is located in a basement and is intended to be naturally lit and ventilated, such room shall have at least one third of the height of its external walls above the ground level and satisfy Regulation 53 59. (1) In the case of air-wells meant for obtaining natural light and ventilation following requirements shall be complie || or the Purpose of natural light and ventilation Plot Coverage and F.A.R. 57. For the purpose of determining light and ventilation requirements, any room may be considered as a portion of an adjoining room when half of the area of the common wall is open and unobstructed 58. When any room is located in a basement and is intended to be naturally lit and ventilated, such room shall have at least one third of the height of its external walls above the ground level and satisfy Regulation 53 59. (1) In the case of air-wells meant for obtaining natural light and ventilation following requirements shall be complied with; Form “A” Specification as to Air-wells for Natu || Plot Coverage and F.A.R. 57. For the purpose of determining light and ventilation requirements, any room may be considered as a portion of an adjoining room when half of the area of the common wall is open and unobstructed 58. When any room is located in a basement and is intended to be naturally lit and ventilated, such room shall have at least one third of the height of its external walls above the ground level and satisfy Regulation 53 59. (1) In the case of air-wells meant for obtaining natural light and ventilation following requirements shall be complied with; Form “A” Specification as to Air-wells for Natural Light and Ventilation (2) No internal air-well or courtyard requi</x:v>
      </x:c>
      <x:c r="G464" s="8" t="str">
        <x:v>candidate_unreviewed</x:v>
      </x:c>
      <x:c r="H464" s="21" t="b">
        <x:v>0</x:v>
      </x:c>
      <x:c r="I464" s="8" t="str">
        <x:v>Keyword extraction only. Read page image and full context before promoting. English search cannot exclude Sinhala/Tamil or image-only content.</x:v>
      </x:c>
    </x:row>
    <x:row r="465" ht="322" customHeight="1">
      <x:c r="A465" s="11" t="str">
        <x:v>C00464</x:v>
      </x:c>
      <x:c r="B465" s="11" t="str">
        <x:v>SRC_0084</x:v>
      </x:c>
      <x:c r="C465" s="11" t="str">
        <x:v>Sri Jayawardenapura.zip::Sri Jayawardenapura/SJP_Volume II Part I.pdf</x:v>
      </x:c>
      <x:c r="D465" s="22" t="n">
        <x:v>54</x:v>
      </x:c>
      <x:c r="E465" s="11" t="str">
        <x:v>light and ventilation, staircase</x:v>
      </x:c>
      <x:c r="F465" s="11" t="str">
        <x:v>r intended to be installed in a building, the provisions of these Regulations relating to natural light and ventilation and the height of rooms may be waived or modified at the discretion of the Authority if- (a) such installation is in accordance with the relevant provisions of these Regulations, having regard to the particular type of occupancy of the building or part thereof; and (b) the owner of the building has given an undertaking to the Authority affirming that he will comply fully with the relevant provision of these Regulations when the air-conditioning unit, mechanical ventilation system or artificial lighting is no longer in use. (2) In a room used for residential purposes where fresh air is obtained by mechanical mea || paragraph (2) of regulation 67, mechanical ventilation shall - (a) be provided in every room, staircase, corridor or lobby where the relevant requirements for natural ventilation under these Regulations are not met; (b) in other cases, be provided in accordance with the other provisions of these Regulations or as may be required by the Authority.</x:v>
      </x:c>
      <x:c r="G465" s="11" t="str">
        <x:v>candidate_unreviewed</x:v>
      </x:c>
      <x:c r="H465" s="24" t="b">
        <x:v>0</x:v>
      </x:c>
      <x:c r="I465" s="11" t="str">
        <x:v>Keyword extraction only. Read page image and full context before promoting. English search cannot exclude Sinhala/Tamil or image-only content.</x:v>
      </x:c>
    </x:row>
    <x:row r="466" ht="224" customHeight="1">
      <x:c r="A466" s="8" t="str">
        <x:v>C00465</x:v>
      </x:c>
      <x:c r="B466" s="8" t="str">
        <x:v>SRC_0084</x:v>
      </x:c>
      <x:c r="C466" s="8" t="str">
        <x:v>Sri Jayawardenapura.zip::Sri Jayawardenapura/SJP_Volume II Part I.pdf</x:v>
      </x:c>
      <x:c r="D466" s="18" t="n">
        <x:v>59</x:v>
      </x:c>
      <x:c r="E466" s="8" t="str">
        <x:v>light and ventilation</x:v>
      </x:c>
      <x:c r="F466" s="8" t="str">
        <x:v>in its entirely or to an extent of 1/3 of its height above such ground level in case where natural light and ventilation is intended to be obtained. “boundary wall” means any wall, enclosure or screen built on or along a boundary line of a parcel of land for the purpose of separating such land from another adjoining parcel of land: “blind Wall” means a solid wall constructed using trans lucent material having no openings. “building” includes a house, out house, latrine, shed, godown or any structure made out of masonry bricks, mud, timber, metal or any other permanent material. “residential building” means a building exclusively consisting of one dwelling unit or a number of dwelling units. “building line” means the line up to which</x:v>
      </x:c>
      <x:c r="G466" s="8" t="str">
        <x:v>candidate_unreviewed</x:v>
      </x:c>
      <x:c r="H466" s="21" t="b">
        <x:v>0</x:v>
      </x:c>
      <x:c r="I466" s="8" t="str">
        <x:v>Keyword extraction only. Read page image and full context before promoting. English search cannot exclude Sinhala/Tamil or image-only content.</x:v>
      </x:c>
    </x:row>
    <x:row r="467" ht="210" customHeight="1">
      <x:c r="A467" s="11" t="str">
        <x:v>C00466</x:v>
      </x:c>
      <x:c r="B467" s="11" t="str">
        <x:v>SRC_0084</x:v>
      </x:c>
      <x:c r="C467" s="11" t="str">
        <x:v>Sri Jayawardenapura.zip::Sri Jayawardenapura/SJP_Volume II Part I.pdf</x:v>
      </x:c>
      <x:c r="D467" s="22" t="n">
        <x:v>61</x:v>
      </x:c>
      <x:c r="E467" s="11" t="str">
        <x:v>bathroom</x:v>
      </x:c>
      <x:c r="F467" s="11" t="str">
        <x:v>ed to be used wholly or partially for human habitation for a family, where the kitchen, lavatory, bathroom or water-closet are contained within the separate dwelling and that dwelling is contained in a building comprising two or more than such dwellings joined vertically. “flood level” means such flood level as may be specified for an area by the Department of Irrigation or Sri Lanka Land Reclamation &amp; Development Corporation for the purposes of these Regulations. “floor” includes a horizontal platform forming the surface of a storey and any joist board, timber, stone, concrete, steel or other substance connected with or forming part of such platform;</x:v>
      </x:c>
      <x:c r="G467" s="11" t="str">
        <x:v>candidate_unreviewed</x:v>
      </x:c>
      <x:c r="H467" s="24" t="b">
        <x:v>0</x:v>
      </x:c>
      <x:c r="I467" s="11" t="str">
        <x:v>Keyword extraction only. Read page image and full context before promoting. English search cannot exclude Sinhala/Tamil or image-only content.</x:v>
      </x:c>
    </x:row>
    <x:row r="468" ht="434" customHeight="1">
      <x:c r="A468" s="8" t="str">
        <x:v>C00467</x:v>
      </x:c>
      <x:c r="B468" s="8" t="str">
        <x:v>SRC_0084</x:v>
      </x:c>
      <x:c r="C468" s="8" t="str">
        <x:v>Sri Jayawardenapura.zip::Sri Jayawardenapura/SJP_Volume II Part I.pdf</x:v>
      </x:c>
      <x:c r="D468" s="18" t="n">
        <x:v>63</x:v>
      </x:c>
      <x:c r="E468" s="8" t="str">
        <x:v>bathroom, habitable room</x:v>
      </x:c>
      <x:c r="F468" s="8" t="str">
        <x:v>ding means the vertical distance measured from the corresponding location to its highest part. “habitable room” means any room not less than 8.0 Sq.m. in area but does not include any bathroom, water-closet, open veranda, terrace or garage; “hospital” means a building or part thereof designed, adapted or used for the care or treatment of the sick, infirm, aged, convalescent and pregnant; “hotel” means a building specially designed and constructed or substantially adapted to be used to accommodate persons for the purpose of gain or profit, with or without arrangements for communal feeding. “housing accommodation” includes a building or tenement wholly or partially constructed, adapted for human habitation or for human habitation and bus || part. “habitable room” means any room not less than 8.0 Sq.m. in area but does not include any bathroom, water-closet, open veranda, terrace or garage; “hospital” means a building or part thereof designed, adapted or used for the care or treatment of the sick, infirm, aged, convalescent and pregnant; “hotel” means a building specially designed and constructed or substantially adapted to be used to accommodate persons for the purpose of gain or profit, with or without arrangements for communal feeding. “housing accommodation” includes a building or tenement wholly or partially constructed, adapted for human habitation or for human habitation and business. “housing complex” means a group of dwelling units on a site which is p</x:v>
      </x:c>
      <x:c r="G468" s="8" t="str">
        <x:v>candidate_unreviewed</x:v>
      </x:c>
      <x:c r="H468" s="21" t="b">
        <x:v>0</x:v>
      </x:c>
      <x:c r="I468" s="8" t="str">
        <x:v>Keyword extraction only. Read page image and full context before promoting. English search cannot exclude Sinhala/Tamil or image-only content.</x:v>
      </x:c>
    </x:row>
    <x:row r="469" ht="84" customHeight="1">
      <x:c r="A469" s="11" t="str">
        <x:v>C00468</x:v>
      </x:c>
      <x:c r="B469" s="11" t="str">
        <x:v>SRC_0084</x:v>
      </x:c>
      <x:c r="C469" s="11" t="str">
        <x:v>Sri Jayawardenapura.zip::Sri Jayawardenapura/SJP_Volume II Part I.pdf</x:v>
      </x:c>
      <x:c r="D469" s="22" t="n">
        <x:v>65</x:v>
      </x:c>
      <x:c r="E469" s="11" t="str">
        <x:v>plot coverage</x:v>
      </x:c>
      <x:c r="F469" s="11" t="str">
        <x:v>ing committee” means the Committee appointed under Section 8 of the Law as amended in 1982. “plot coverage” means the percentage of total plinth area of a building in relation to the total land area in the plot where the building situated. In the</x:v>
      </x:c>
      <x:c r="G469" s="11" t="str">
        <x:v>candidate_unreviewed</x:v>
      </x:c>
      <x:c r="H469" s="24" t="b">
        <x:v>0</x:v>
      </x:c>
      <x:c r="I469" s="11" t="str">
        <x:v>Keyword extraction only. Read page image and full context before promoting. English search cannot exclude Sinhala/Tamil or image-only content.</x:v>
      </x:c>
    </x:row>
    <x:row r="470" ht="224" customHeight="1">
      <x:c r="A470" s="8" t="str">
        <x:v>C00469</x:v>
      </x:c>
      <x:c r="B470" s="8" t="str">
        <x:v>SRC_0084</x:v>
      </x:c>
      <x:c r="C470" s="8" t="str">
        <x:v>Sri Jayawardenapura.zip::Sri Jayawardenapura/SJP_Volume II Part I.pdf</x:v>
      </x:c>
      <x:c r="D470" s="18" t="n">
        <x:v>66</x:v>
      </x:c>
      <x:c r="E470" s="8" t="str">
        <x:v>plot coverage</x:v>
      </x:c>
      <x:c r="F470" s="8" t="str">
        <x:v>ceeding 1 m in width, such additional areas shall also be added for the purpose of calculating the plot coverage. “Professional Engineer” means a person whose name appears on the register kept in the Institute of Engineers Sri Lanka as a Chartered Engineer. “public building” includes any building or part thereof used or constructed or adapted to be used for the purpose of public worship , instruction, recreation, meeting , shopping centre, medical institution or a nursing home or government / private office. “public street” means any street over which the public have a right of way and has become vested in any Authority under any Law or by operation of any Law and includes the drain or footway attached thereto; “Qualified person”</x:v>
      </x:c>
      <x:c r="G470" s="8" t="str">
        <x:v>candidate_unreviewed</x:v>
      </x:c>
      <x:c r="H470" s="21" t="b">
        <x:v>0</x:v>
      </x:c>
      <x:c r="I470" s="8" t="str">
        <x:v>Keyword extraction only. Read page image and full context before promoting. English search cannot exclude Sinhala/Tamil or image-only content.</x:v>
      </x:c>
    </x:row>
    <x:row r="471" ht="182" customHeight="1">
      <x:c r="A471" s="11" t="str">
        <x:v>C00470</x:v>
      </x:c>
      <x:c r="B471" s="11" t="str">
        <x:v>SRC_0084</x:v>
      </x:c>
      <x:c r="C471" s="11" t="str">
        <x:v>Sri Jayawardenapura.zip::Sri Jayawardenapura/SJP_Volume II Part I.pdf</x:v>
      </x:c>
      <x:c r="D471" s="22" t="n">
        <x:v>67</x:v>
      </x:c>
      <x:c r="E471" s="11" t="str">
        <x:v>bathroom</x:v>
      </x:c>
      <x:c r="F471" s="11" t="str">
        <x:v>a building enclosed by walls or partitions. “sanitary facilities” includes toilets, wash-basins, bathrooms, sinks and facilities for washing clothes which connect, directly or otherwise with a private sewage treatment plant or with a public sewerage system. “school” means a building or part thereof designed, adapted or used for the dissemination of knowledge. “service garage “ includes a building or part thereof, used for the repairing, painting, washing, of motor vehicles; “sewage” means any liquid waste and includes water-borne sludge and trade effluent;</x:v>
      </x:c>
      <x:c r="G471" s="11" t="str">
        <x:v>candidate_unreviewed</x:v>
      </x:c>
      <x:c r="H471" s="24" t="b">
        <x:v>0</x:v>
      </x:c>
      <x:c r="I471" s="11" t="str">
        <x:v>Keyword extraction only. Read page image and full context before promoting. English search cannot exclude Sinhala/Tamil or image-only content.</x:v>
      </x:c>
    </x:row>
    <x:row r="472" ht="196" customHeight="1">
      <x:c r="A472" s="8" t="str">
        <x:v>C00471</x:v>
      </x:c>
      <x:c r="B472" s="8" t="str">
        <x:v>SRC_0084</x:v>
      </x:c>
      <x:c r="C472" s="8" t="str">
        <x:v>Sri Jayawardenapura.zip::Sri Jayawardenapura/SJP_Volume II Part I.pdf</x:v>
      </x:c>
      <x:c r="D472" s="18" t="n">
        <x:v>68</x:v>
      </x:c>
      <x:c r="E472" s="8" t="str">
        <x:v>staircase</x:v>
      </x:c>
      <x:c r="F472" s="8" t="str">
        <x:v>of a building” includes the roof, column, or main post, beam, foundation, wall suspended floor, or staircase of a building but not include a door, windows or internal partition thereof; “superimposed load” or superimposed loading” means all loading other than dead load; “temporary building” means a building which is permitted by the Authority to remain for a specified period at the expiration of which the building shall be demolished. “terrace house” means a residential building designed as single dwelling unit and forming part of a row or terrace of not less than three such residential buildings;</x:v>
      </x:c>
      <x:c r="G472" s="8" t="str">
        <x:v>candidate_unreviewed</x:v>
      </x:c>
      <x:c r="H472" s="21" t="b">
        <x:v>0</x:v>
      </x:c>
      <x:c r="I472" s="8" t="str">
        <x:v>Keyword extraction only. Read page image and full context before promoting. English search cannot exclude Sinhala/Tamil or image-only content.</x:v>
      </x:c>
    </x:row>
    <x:row r="473" ht="210" customHeight="1">
      <x:c r="A473" s="11" t="str">
        <x:v>C00472</x:v>
      </x:c>
      <x:c r="B473" s="11" t="str">
        <x:v>SRC_0085</x:v>
      </x:c>
      <x:c r="C473" s="11" t="str">
        <x:v>Sri Jayawardenapura.zip::Sri Jayawardenapura/SJP_Volume II Part II.pdf</x:v>
      </x:c>
      <x:c r="D473" s="22" t="n">
        <x:v>6</x:v>
      </x:c>
      <x:c r="E473" s="11" t="str">
        <x:v>setback</x:v>
      </x:c>
      <x:c r="F473" s="11" t="str">
        <x:v>street lines, the setback from the street and the boundaries of the site, access ways and location of parking areas, drains and water courses, contours and spot levels, distance to electricity lines and trees and vegetation. 4. In case where only building work is involved: (a) A sketch plan of the surrounding area sufficient to locate the building site (b) Approved blocking out plan to a scale of not less than 1:4000 (c) A floor plan of each storey drawn to a scale of 1:100 except where the building is extensive as to render a smaller scale is necessary . In such cases the scale of 1:200 may be used showing: i. The dimensions of the rooms and differ</x:v>
      </x:c>
      <x:c r="G473" s="11" t="str">
        <x:v>candidate_unreviewed</x:v>
      </x:c>
      <x:c r="H473" s="24" t="b">
        <x:v>0</x:v>
      </x:c>
      <x:c r="I473" s="11" t="str">
        <x:v>Keyword extraction only. Read page image and full context before promoting. English search cannot exclude Sinhala/Tamil or image-only content.</x:v>
      </x:c>
    </x:row>
    <x:row r="474" ht="70" customHeight="1">
      <x:c r="A474" s="8" t="str">
        <x:v>C00473</x:v>
      </x:c>
      <x:c r="B474" s="8" t="str">
        <x:v>SRC_0085</x:v>
      </x:c>
      <x:c r="C474" s="8" t="str">
        <x:v>Sri Jayawardenapura.zip::Sri Jayawardenapura/SJP_Volume II Part II.pdf</x:v>
      </x:c>
      <x:c r="D474" s="18" t="n">
        <x:v>18</x:v>
      </x:c>
      <x:c r="E474" s="8" t="str">
        <x:v>plot coverage</x:v>
      </x:c>
      <x:c r="F474" s="8" t="str">
        <x:v>(c)Floor Area Ratio (FAR) = Gross Floor Area of all buildings Site Area (d)Plot Coverage = Floor Area at Ground Level X100 Site Area (e) Basement: i. Extent ii. Ground coverage</x:v>
      </x:c>
      <x:c r="G474" s="8" t="str">
        <x:v>candidate_unreviewed</x:v>
      </x:c>
      <x:c r="H474" s="21" t="b">
        <x:v>0</x:v>
      </x:c>
      <x:c r="I474" s="8" t="str">
        <x:v>Keyword extraction only. Read page image and full context before promoting. English search cannot exclude Sinhala/Tamil or image-only content.</x:v>
      </x:c>
    </x:row>
    <x:row r="475" ht="112" customHeight="1">
      <x:c r="A475" s="11" t="str">
        <x:v>C00474</x:v>
      </x:c>
      <x:c r="B475" s="11" t="str">
        <x:v>SRC_0085</x:v>
      </x:c>
      <x:c r="C475" s="11" t="str">
        <x:v>Sri Jayawardenapura.zip::Sri Jayawardenapura/SJP_Volume II Part II.pdf</x:v>
      </x:c>
      <x:c r="D475" s="22" t="n">
        <x:v>23</x:v>
      </x:c>
      <x:c r="E475" s="11" t="str">
        <x:v>bathroom, minimum width</x:v>
      </x:c>
      <x:c r="F475" s="11" t="str">
        <x:v>3 FORM “E” (Regulation -38) INTERNAL CLEAR DIMENSIONS OF BATH ROOMS AND TOILETS Room Minimum Width (Meters) Minimum Length (Meters) Bath Rooms 1.5 1.2 Toilets 1.2 1.2 Bathroom and Toilets Combined 1.5 1.7 || Room Minimum Width (Meters) Minimum Length (Meters) Bath Rooms 1.5 1.2 Toilets 1.2 1.2 Bathroom and Toilets Combined 1.5 1.7</x:v>
      </x:c>
      <x:c r="G475" s="11" t="str">
        <x:v>candidate_unreviewed</x:v>
      </x:c>
      <x:c r="H475" s="24" t="b">
        <x:v>0</x:v>
      </x:c>
      <x:c r="I475" s="11" t="str">
        <x:v>Keyword extraction only. Read page image and full context before promoting. English search cannot exclude Sinhala/Tamil or image-only content.</x:v>
      </x:c>
    </x:row>
    <x:row r="476" ht="378" customHeight="1">
      <x:c r="A476" s="8" t="str">
        <x:v>C00475</x:v>
      </x:c>
      <x:c r="B476" s="8" t="str">
        <x:v>SRC_0085</x:v>
      </x:c>
      <x:c r="C476" s="8" t="str">
        <x:v>Sri Jayawardenapura.zip::Sri Jayawardenapura/SJP_Volume II Part II.pdf</x:v>
      </x:c>
      <x:c r="D476" s="18" t="n">
        <x:v>24</x:v>
      </x:c>
      <x:c r="E476" s="8" t="str">
        <x:v>bathroom, staircase</x:v>
      </x:c>
      <x:c r="F476" s="8" t="str">
        <x:v>SCHEDULE 3 FORM “F” (Regulation -42) STARECASES Type Width of Staircase Centimeters Minimum Height Meters Riser Centimeters Tread Centimeters (a) Internal stairs serving only one upper floor 75 2.0 19 22.5 (b) Stairs in buildings used as places of public assembly 105 2.1 17.5 22.5 (c) All other types 90 2.1 17.5 22.5 SCHEDULE 3 FORM “F” (Regulation- 46) AGGREGATE AREA OF UNOBSTRUCTED OPENINGS Column 1 Type Column 11 Total Area for Natural Lighting &amp; Ventilation Column 111 Percentage of area Openable (1) Bathrooms and Toilets 1/10 100 (2)Vehicle parking Garage 1/10 50 (3) Factories and Warehouses 1/10 50 (4) All other rooms 1/7 50 SCHEDULE 3 F || 11 Total Area for Natural Lighting &amp; Ventilation Column 111 Percentage of area Openable (1) Bathrooms and Toilets 1/10 100 (2)Vehicle parking Garage 1/10 50 (3) Factories and Warehouses 1/10 50 (4) All other rooms 1/7 50 SCHEDULE 3 FORM “H” (Regulation -56) SPECIFICATIONS AS TO LIFTS i. Lift at least at the main entrance and others shall be suitably installed for buildings with five and above stories. The main lift to be of 12-16 passenger capacity while others to be 8-12 passenger capacity ii. Medium speed lifts shall be used for 5-10 storey buildings iii. High speed lifts shall be used for buildings taller than that</x:v>
      </x:c>
      <x:c r="G476" s="8" t="str">
        <x:v>candidate_unreviewed</x:v>
      </x:c>
      <x:c r="H476" s="21" t="b">
        <x:v>0</x:v>
      </x:c>
      <x:c r="I476" s="8" t="str">
        <x:v>Keyword extraction only. Read page image and full context before promoting. English search cannot exclude Sinhala/Tamil or image-only content.</x:v>
      </x:c>
    </x:row>
    <x:row r="477" ht="84" customHeight="1">
      <x:c r="A477" s="11" t="str">
        <x:v>C00476</x:v>
      </x:c>
      <x:c r="B477" s="11" t="str">
        <x:v>SRC_0085</x:v>
      </x:c>
      <x:c r="C477" s="11" t="str">
        <x:v>Sri Jayawardenapura.zip::Sri Jayawardenapura/SJP_Volume II Part II.pdf</x:v>
      </x:c>
      <x:c r="D477" s="22" t="n">
        <x:v>29</x:v>
      </x:c>
      <x:c r="E477" s="11" t="str">
        <x:v>minimum width</x:v>
      </x:c>
      <x:c r="F477" s="11" t="str">
        <x:v>. Parking Area When a parking area is provided, one or more parking spaces for wheelchair users (minimum width : 35 cm) shall be provided. The said space shall be located close to the entrance/exit of the parking area.</x:v>
      </x:c>
      <x:c r="G477" s="11" t="str">
        <x:v>candidate_unreviewed</x:v>
      </x:c>
      <x:c r="H477" s="24" t="b">
        <x:v>0</x:v>
      </x:c>
      <x:c r="I477" s="11" t="str">
        <x:v>Keyword extraction only. Read page image and full context before promoting. English search cannot exclude Sinhala/Tamil or image-only content.</x:v>
      </x:c>
    </x:row>
    <x:row r="478" ht="98" customHeight="1">
      <x:c r="A478" s="8" t="str">
        <x:v>C00477</x:v>
      </x:c>
      <x:c r="B478" s="8" t="str">
        <x:v>SRC_0089</x:v>
      </x:c>
      <x:c r="C478" s="8" t="str">
        <x:v>Vavniya2023-2033_E.pdf</x:v>
      </x:c>
      <x:c r="D478" s="18" t="n">
        <x:v>128</x:v>
      </x:c>
      <x:c r="E478" s="8" t="str">
        <x:v>plot coverage</x:v>
      </x:c>
      <x:c r="F478" s="8" t="str">
        <x:v>Common zoning regulations Relevant department clearances should be obtained if needed Plot Coverage 80% Details of Attachment s viii. Proposed Design Layout Plan ix. Seating and Resting space x. Proposed Open Gym xi. Proposed Lighting xii. Proposed Restaurant design xiii. Proposed kiosk design</x:v>
      </x:c>
      <x:c r="G478" s="8" t="str">
        <x:v>candidate_unreviewed</x:v>
      </x:c>
      <x:c r="H478" s="21" t="b">
        <x:v>0</x:v>
      </x:c>
      <x:c r="I478" s="8" t="str">
        <x:v>Keyword extraction only. Read page image and full context before promoting. English search cannot exclude Sinhala/Tamil or image-only content.</x:v>
      </x:c>
    </x:row>
    <x:row r="479" ht="154" customHeight="1">
      <x:c r="A479" s="11" t="str">
        <x:v>C00478</x:v>
      </x:c>
      <x:c r="B479" s="11" t="str">
        <x:v>SRC_0089</x:v>
      </x:c>
      <x:c r="C479" s="11" t="str">
        <x:v>Vavniya2023-2033_E.pdf</x:v>
      </x:c>
      <x:c r="D479" s="22" t="n">
        <x:v>133</x:v>
      </x:c>
      <x:c r="E479" s="11" t="str">
        <x:v>staircase</x:v>
      </x:c>
      <x:c r="F479" s="11" t="str">
        <x:v>of Sanitary facilities including disable facilities  Provision of common services such as lift, staircase, disable ramp, washroom and fire exit Map: Refer the Annexure I Infrastructu re Availabilit y Water Required Capacity Total: 450m3 per day Electricity Required Capacity Drinking Purpose: Average Person x Required Litres 100 x 2 Litres = 200 l Restaurant purpose: 1500 l Available Capacity - Available Capacity Solid waste Manag Yes  No If No give suitable</x:v>
      </x:c>
      <x:c r="G479" s="11" t="str">
        <x:v>candidate_unreviewed</x:v>
      </x:c>
      <x:c r="H479" s="24" t="b">
        <x:v>0</x:v>
      </x:c>
      <x:c r="I479" s="11" t="str">
        <x:v>Keyword extraction only. Read page image and full context before promoting. English search cannot exclude Sinhala/Tamil or image-only content.</x:v>
      </x:c>
    </x:row>
    <x:row r="480" ht="70" customHeight="1">
      <x:c r="A480" s="8" t="str">
        <x:v>C00479</x:v>
      </x:c>
      <x:c r="B480" s="8" t="str">
        <x:v>SRC_0089</x:v>
      </x:c>
      <x:c r="C480" s="8" t="str">
        <x:v>Vavniya2023-2033_E.pdf</x:v>
      </x:c>
      <x:c r="D480" s="18" t="n">
        <x:v>135</x:v>
      </x:c>
      <x:c r="E480" s="8" t="str">
        <x:v>plot coverage</x:v>
      </x:c>
      <x:c r="F480" s="8" t="str">
        <x:v>0 sq.m Common zoning regulations Relevant department clearances should be obtained if needed Plot Coverage 80% Details of Attachment s xiv. Proposed Layout Plan Annexure</x:v>
      </x:c>
      <x:c r="G480" s="8" t="str">
        <x:v>candidate_unreviewed</x:v>
      </x:c>
      <x:c r="H480" s="21" t="b">
        <x:v>0</x:v>
      </x:c>
      <x:c r="I480" s="8" t="str">
        <x:v>Keyword extraction only. Read page image and full context before promoting. English search cannot exclude Sinhala/Tamil or image-only content.</x:v>
      </x:c>
    </x:row>
    <x:row r="481" ht="616" customHeight="1">
      <x:c r="A481" s="11" t="str">
        <x:v>C00480</x:v>
      </x:c>
      <x:c r="B481" s="11" t="str">
        <x:v>SRC_0089</x:v>
      </x:c>
      <x:c r="C481" s="11" t="str">
        <x:v>Vavniya2023-2033_E.pdf</x:v>
      </x:c>
      <x:c r="D481" s="22" t="n">
        <x:v>145</x:v>
      </x:c>
      <x:c r="E481" s="11" t="str">
        <x:v>minimum width, plot coverage</x:v>
      </x:c>
      <x:c r="F481" s="11" t="str">
        <x:v>sidered for the allowable Floor Area Ratio for the proposed development. But while calculating the plot coverage percentage, the rest of the plot, excluding the portion belonging to the street line/proposed road width should be considered. vi. In cases where the development premises face more than one road having right of way with a minimum width of 6 m or more than that and connected to main roads independently, the sum of the widths of all those roads may be considered as the access road width to calculate the permissible development on a case-by-case basis vii. In the construction of buildings, the Maximum Permissible Floor Area Ratio related to the Zone Factor given in "Form C" shall be determined by considering the slope of the proposed || . vi. In cases where the development premises face more than one road having right of way with a minimum width of 6 m or more than that and connected to main roads independently, the sum of the widths of all those roads may be considered as the access road width to calculate the permissible development on a case-by-case basis vii. In the construction of buildings, the Maximum Permissible Floor Area Ratio related to the Zone Factor given in "Form C" shall be determined by considering the slope of the proposed land and in accordance with the specifications shown below: Permissible Maximum Plot Coverage Percentage and FAR percentage depending on the slope of the land Slope of the land (degrees) Maximum Permissible Plot Coverage The Percenta || pe of the proposed land and in accordance with the specifications shown below: Permissible Maximum Plot Coverage Percentage and FAR percentage depending on the slope of the land Slope of the land (degrees) Maximum Permissible Plot Coverage The Percentage of Maximum Permissible Floor Area Ratio From 00 to 100 According to the zoning regulations. 100% From 100 &lt; to 200 According to the zoning regulations. 75% From 200 &lt; to 300 50% 50% From 300 &lt; to 450 40% 35% More than 450 Development works are permitted in accordance with the recommendation of the National Building Research Organizations</x:v>
      </x:c>
      <x:c r="G481" s="11" t="str">
        <x:v>candidate_unreviewed</x:v>
      </x:c>
      <x:c r="H481" s="24" t="b">
        <x:v>0</x:v>
      </x:c>
      <x:c r="I481" s="11" t="str">
        <x:v>Keyword extraction only. Read page image and full context before promoting. English search cannot exclude Sinhala/Tamil or image-only content.</x:v>
      </x:c>
    </x:row>
    <x:row r="482" ht="238" customHeight="1">
      <x:c r="A482" s="8" t="str">
        <x:v>C00481</x:v>
      </x:c>
      <x:c r="B482" s="8" t="str">
        <x:v>SRC_0089</x:v>
      </x:c>
      <x:c r="C482" s="8" t="str">
        <x:v>Vavniya2023-2033_E.pdf</x:v>
      </x:c>
      <x:c r="D482" s="18" t="n">
        <x:v>149</x:v>
      </x:c>
      <x:c r="E482" s="8" t="str">
        <x:v>plot coverage, setbacks</x:v>
      </x:c>
      <x:c r="F482" s="8" t="str">
        <x:v>ble Maximum Plot Coverage As per the form “B” in Schedule II and form “E” in Schedule III ix. Setbacks &amp; maximum height As per the form “E” in Schedule III x. Minimum land extent for sub division 250 Sq.m xi. Permissible uses As per the form “F” in Schedule IV &amp; “G” in Schedule V xii. Common zoning regulations  Plot Coverage 65% should be maintained  Degrable waste should be managed within the premises  Environmentally harmful industries not allowed Source: Urban Development Authority, 2023 || s As per the form “F” in Schedule IV &amp; “G” in Schedule V xii. Common zoning regulations  Plot Coverage 65% should be maintained  Degrable waste should be managed within the premises  Environmentally harmful industries not allowed Source: Urban Development Authority, 2023</x:v>
      </x:c>
      <x:c r="G482" s="8" t="str">
        <x:v>candidate_unreviewed</x:v>
      </x:c>
      <x:c r="H482" s="21" t="b">
        <x:v>0</x:v>
      </x:c>
      <x:c r="I482" s="8" t="str">
        <x:v>Keyword extraction only. Read page image and full context before promoting. English search cannot exclude Sinhala/Tamil or image-only content.</x:v>
      </x:c>
    </x:row>
    <x:row r="483" ht="196" customHeight="1">
      <x:c r="A483" s="11" t="str">
        <x:v>C00482</x:v>
      </x:c>
      <x:c r="B483" s="11" t="str">
        <x:v>SRC_0089</x:v>
      </x:c>
      <x:c r="C483" s="11" t="str">
        <x:v>Vavniya2023-2033_E.pdf</x:v>
      </x:c>
      <x:c r="D483" s="22" t="n">
        <x:v>150</x:v>
      </x:c>
      <x:c r="E483" s="11" t="str">
        <x:v>setbacks</x:v>
      </x:c>
      <x:c r="F483" s="11" t="str">
        <x:v>le Maximum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 Solar panel should be installed for building more than 15m height  Green space should be maintained for building more than 15m height  Drainages should be constructed in order to runoff the overflow of strom water into main strom water drainage channel in every development Source: Urban Development Authority, 2023</x:v>
      </x:c>
      <x:c r="G483" s="11" t="str">
        <x:v>candidate_unreviewed</x:v>
      </x:c>
      <x:c r="H483" s="24" t="b">
        <x:v>0</x:v>
      </x:c>
      <x:c r="I483" s="11" t="str">
        <x:v>Keyword extraction only. Read page image and full context before promoting. English search cannot exclude Sinhala/Tamil or image-only content.</x:v>
      </x:c>
    </x:row>
    <x:row r="484" ht="196" customHeight="1">
      <x:c r="A484" s="8" t="str">
        <x:v>C00483</x:v>
      </x:c>
      <x:c r="B484" s="8" t="str">
        <x:v>SRC_0089</x:v>
      </x:c>
      <x:c r="C484" s="8" t="str">
        <x:v>Vavniya2023-2033_E.pdf</x:v>
      </x:c>
      <x:c r="D484" s="18" t="n">
        <x:v>151</x:v>
      </x:c>
      <x:c r="E484" s="8" t="str">
        <x:v>setbacks</x:v>
      </x:c>
      <x:c r="F484" s="8" t="str">
        <x:v>ble Maximum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 Solar panel should be installed for building more than 15m height  Green space should be maintained for building more than 15m height  Drainages should be constructed in order to runoff the overflow of strom water into main strom water drainage channel in every development Source: Urban Development Authority, 2023</x:v>
      </x:c>
      <x:c r="G484" s="8" t="str">
        <x:v>candidate_unreviewed</x:v>
      </x:c>
      <x:c r="H484" s="21" t="b">
        <x:v>0</x:v>
      </x:c>
      <x:c r="I484" s="8" t="str">
        <x:v>Keyword extraction only. Read page image and full context before promoting. English search cannot exclude Sinhala/Tamil or image-only content.</x:v>
      </x:c>
    </x:row>
    <x:row r="485" ht="182" customHeight="1">
      <x:c r="A485" s="11" t="str">
        <x:v>C00484</x:v>
      </x:c>
      <x:c r="B485" s="11" t="str">
        <x:v>SRC_0089</x:v>
      </x:c>
      <x:c r="C485" s="11" t="str">
        <x:v>Vavniya2023-2033_E.pdf</x:v>
      </x:c>
      <x:c r="D485" s="22" t="n">
        <x:v>152</x:v>
      </x:c>
      <x:c r="E485" s="11" t="str">
        <x:v>setbacks</x:v>
      </x:c>
      <x:c r="F485" s="11" t="str">
        <x:v>ble Maximum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 Nature friendly tourism related development (Ex: huts, watching area)  Irrigation based development activity  Development activity for the Flood mitigation  Any other activities permitted by the Planning Committee Source: Urban Development Authority, 2023</x:v>
      </x:c>
      <x:c r="G485" s="11" t="str">
        <x:v>candidate_unreviewed</x:v>
      </x:c>
      <x:c r="H485" s="24" t="b">
        <x:v>0</x:v>
      </x:c>
      <x:c r="I485" s="11" t="str">
        <x:v>Keyword extraction only. Read page image and full context before promoting. English search cannot exclude Sinhala/Tamil or image-only content.</x:v>
      </x:c>
    </x:row>
    <x:row r="486" ht="238" customHeight="1">
      <x:c r="A486" s="8" t="str">
        <x:v>C00485</x:v>
      </x:c>
      <x:c r="B486" s="8" t="str">
        <x:v>SRC_0089</x:v>
      </x:c>
      <x:c r="C486" s="8" t="str">
        <x:v>Vavniya2023-2033_E.pdf</x:v>
      </x:c>
      <x:c r="D486" s="18" t="n">
        <x:v>153</x:v>
      </x:c>
      <x:c r="E486" s="8" t="str">
        <x:v>plot coverage, setbacks</x:v>
      </x:c>
      <x:c r="F486" s="8" t="str">
        <x:v>bleMaxi mum Plot Coverage As per the form “B” in Schedule II and form “E” in Schedule III ix. Setbacks &amp; maximum height As per the form “E” in Schedule III x. Minimum land extent for sub division 250 Sq.m xi. Permissible uses As per the form “F” in Schedule IV &amp; “G” in Schedule V xii. Common zoning regulations  Plot Coverage 65% should be maintained  Degrable waste should be managed within the premises  Environmentally harmful industries not allowed Source: Urban Development Authority, 2023 || s As per the form “F” in Schedule IV &amp; “G” in Schedule V xii. Common zoning regulations  Plot Coverage 65% should be maintained  Degrable waste should be managed within the premises  Environmentally harmful industries not allowed Source: Urban Development Authority, 2023</x:v>
      </x:c>
      <x:c r="G486" s="8" t="str">
        <x:v>candidate_unreviewed</x:v>
      </x:c>
      <x:c r="H486" s="21" t="b">
        <x:v>0</x:v>
      </x:c>
      <x:c r="I486" s="8" t="str">
        <x:v>Keyword extraction only. Read page image and full context before promoting. English search cannot exclude Sinhala/Tamil or image-only content.</x:v>
      </x:c>
    </x:row>
    <x:row r="487" ht="266" customHeight="1">
      <x:c r="A487" s="11" t="str">
        <x:v>C00486</x:v>
      </x:c>
      <x:c r="B487" s="11" t="str">
        <x:v>SRC_0089</x:v>
      </x:c>
      <x:c r="C487" s="11" t="str">
        <x:v>Vavniya2023-2033_E.pdf</x:v>
      </x:c>
      <x:c r="D487" s="22" t="n">
        <x:v>154</x:v>
      </x:c>
      <x:c r="E487" s="11" t="str">
        <x:v>plot coverage, setbacks</x:v>
      </x:c>
      <x:c r="F487" s="11" t="str">
        <x:v>ble Maximum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 Plot Coverage should be maintained as 75%  Drainages should be constructed in order to runoff the overflow of strom water into main strom water drainage channel in every development Source: Urban Development Authority, 2023 || es As per the form “F” in Schedule IV &amp; “G” in Schedule V xii. Common zoning regulations  Plot Coverage should be maintained as 75%  Drainages should be constructed in order to runoff the overflow of strom water into main strom water drainage channel in every development Source: Urban Development Authority, 2023</x:v>
      </x:c>
      <x:c r="G487" s="11" t="str">
        <x:v>candidate_unreviewed</x:v>
      </x:c>
      <x:c r="H487" s="24" t="b">
        <x:v>0</x:v>
      </x:c>
      <x:c r="I487" s="11" t="str">
        <x:v>Keyword extraction only. Read page image and full context before promoting. English search cannot exclude Sinhala/Tamil or image-only content.</x:v>
      </x:c>
    </x:row>
    <x:row r="488" ht="406" customHeight="1">
      <x:c r="A488" s="8" t="str">
        <x:v>C00487</x:v>
      </x:c>
      <x:c r="B488" s="8" t="str">
        <x:v>SRC_0089</x:v>
      </x:c>
      <x:c r="C488" s="8" t="str">
        <x:v>Vavniya2023-2033_E.pdf</x:v>
      </x:c>
      <x:c r="D488" s="18" t="n">
        <x:v>155</x:v>
      </x:c>
      <x:c r="E488" s="8" t="str">
        <x:v>plot coverage, setbacks</x:v>
      </x:c>
      <x:c r="F488" s="8" t="str">
        <x:v>ber of floors As per the form “A” in Schedule I &amp; “B” in Schedule II viii. PermissibleMaximu 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 Solar panel should be installed for building more than 15m height  Green space should be maintained for building more than 15m height  Drainages should be constructed in order to runoff the overflow of strom water into main strom water drainage channel in every development Source: Urban Development Authority, 2023. || sibleMaximu 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 Solar panel should be installed for building more than 15m height  Green space should be maintained for building more than 15m height  Drainages should be constructed in order to runoff the overflow of strom water into main strom water drainage channel in every development Source: Urban Development Authority, 2023.</x:v>
      </x:c>
      <x:c r="G488" s="8" t="str">
        <x:v>candidate_unreviewed</x:v>
      </x:c>
      <x:c r="H488" s="21" t="b">
        <x:v>0</x:v>
      </x:c>
      <x:c r="I488" s="8" t="str">
        <x:v>Keyword extraction only. Read page image and full context before promoting. English search cannot exclude Sinhala/Tamil or image-only content.</x:v>
      </x:c>
    </x:row>
    <x:row r="489" ht="364" customHeight="1">
      <x:c r="A489" s="11" t="str">
        <x:v>C00488</x:v>
      </x:c>
      <x:c r="B489" s="11" t="str">
        <x:v>SRC_0089</x:v>
      </x:c>
      <x:c r="C489" s="11" t="str">
        <x:v>Vavniya2023-2033_E.pdf</x:v>
      </x:c>
      <x:c r="D489" s="22" t="n">
        <x:v>156</x:v>
      </x:c>
      <x:c r="E489" s="11" t="str">
        <x:v>plot coverage, setbacks</x:v>
      </x:c>
      <x:c r="F489" s="11" t="str">
        <x:v>ber of floors As per the form “A” in Schedule I &amp; “B” in Schedule II viii. PermissibleMaximu 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 Nature friendly tourism related development (Ex: huts, watching area)  Irrigation based development activity  Development activity for the Flood mitigation  Any other activities permitted by the Planning Committee Source: Urban Development Authority, 2023. || sibleMaximu 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 Nature friendly tourism related development (Ex: huts, watching area)  Irrigation based development activity  Development activity for the Flood mitigation  Any other activities permitted by the Planning Committee Source: Urban Development Authority, 2023.</x:v>
      </x:c>
      <x:c r="G489" s="11" t="str">
        <x:v>candidate_unreviewed</x:v>
      </x:c>
      <x:c r="H489" s="24" t="b">
        <x:v>0</x:v>
      </x:c>
      <x:c r="I489" s="11" t="str">
        <x:v>Keyword extraction only. Read page image and full context before promoting. English search cannot exclude Sinhala/Tamil or image-only content.</x:v>
      </x:c>
    </x:row>
    <x:row r="490" ht="238" customHeight="1">
      <x:c r="A490" s="8" t="str">
        <x:v>C00489</x:v>
      </x:c>
      <x:c r="B490" s="8" t="str">
        <x:v>SRC_0089</x:v>
      </x:c>
      <x:c r="C490" s="8" t="str">
        <x:v>Vavniya2023-2033_E.pdf</x:v>
      </x:c>
      <x:c r="D490" s="18" t="n">
        <x:v>157</x:v>
      </x:c>
      <x:c r="E490" s="8" t="str">
        <x:v>plot coverage, setbacks</x:v>
      </x:c>
      <x:c r="F490" s="8" t="str">
        <x:v>ble Maximum Plot Coverage As per the form “B” in Schedule II and form “E” in Schedule III xxi. Setbacks &amp; maximum height As per the form “E” in Schedule III xxii. Minimum land extent for sub division 150 Sq.m xxiii. Permissible uses xxiv. As per the form “F” in Schedule IV &amp; “G” in Schedule V xxv. Common zoning regulations No any permanent structure development allowed Nature friendly tourism related development (Ex: huts, watching area) Any other Activities permitted by the Planning Committee Plot coverage should be maintained as 10% Source: Urban Development Authority, 2023. || d development (Ex: huts, watching area) Any other Activities permitted by the Planning Committee Plot coverage should be maintained as 10% Source: Urban Development Authority, 2023.</x:v>
      </x:c>
      <x:c r="G490" s="8" t="str">
        <x:v>candidate_unreviewed</x:v>
      </x:c>
      <x:c r="H490" s="21" t="b">
        <x:v>0</x:v>
      </x:c>
      <x:c r="I490" s="8" t="str">
        <x:v>Keyword extraction only. Read page image and full context before promoting. English search cannot exclude Sinhala/Tamil or image-only content.</x:v>
      </x:c>
    </x:row>
    <x:row r="491" ht="406" customHeight="1">
      <x:c r="A491" s="11" t="str">
        <x:v>C00490</x:v>
      </x:c>
      <x:c r="B491" s="11" t="str">
        <x:v>SRC_0089</x:v>
      </x:c>
      <x:c r="C491" s="11" t="str">
        <x:v>Vavniya2023-2033_E.pdf</x:v>
      </x:c>
      <x:c r="D491" s="22" t="n">
        <x:v>158</x:v>
      </x:c>
      <x:c r="E491" s="11" t="str">
        <x:v>plot coverage, setbacks</x:v>
      </x:c>
      <x:c r="F491" s="11" t="str">
        <x:v>er of floors As per the form “A” in Schedule I &amp; “B” in Schedule II viii. Permissible Maximum Plot Coverage As per the form “B” in Schedule II and form “E” in Schedule III ix. Setbacks &amp; maximum height As per the form “E” in Schedule III x. Minimum land extent for sub division 250 Sq.m xi. Permissible uses As per the form “F” in Schedule IV &amp; “G” in Schedule V xii. Common zoning regulations  Plot Coverage 65% should be maintained  Degrable waste should be managed within the premises  Environmentally harmful industries not allowed Source: Urban Development Authority, 2023 || sible Maximum Plot Coverage As per the form “B” in Schedule II and form “E” in Schedule III ix. Setbacks &amp; maximum height As per the form “E” in Schedule III x. Minimum land extent for sub division 250 Sq.m xi. Permissible uses As per the form “F” in Schedule IV &amp; “G” in Schedule V xii. Common zoning regulations  Plot Coverage 65% should be maintained  Degrable waste should be managed within the premises  Environmentally harmful industries not allowed Source: Urban Development Authority, 2023 || es As per the form “F” in Schedule IV &amp; “G” in Schedule V xii. Common zoning regulations  Plot Coverage 65% should be maintained  Degrable waste should be managed within the premises  Environmentally harmful industries not allowed Source: Urban Development Authority, 2023</x:v>
      </x:c>
      <x:c r="G491" s="11" t="str">
        <x:v>candidate_unreviewed</x:v>
      </x:c>
      <x:c r="H491" s="24" t="b">
        <x:v>0</x:v>
      </x:c>
      <x:c r="I491" s="11" t="str">
        <x:v>Keyword extraction only. Read page image and full context before promoting. English search cannot exclude Sinhala/Tamil or image-only content.</x:v>
      </x:c>
    </x:row>
    <x:row r="492" ht="406" customHeight="1">
      <x:c r="A492" s="8" t="str">
        <x:v>C00491</x:v>
      </x:c>
      <x:c r="B492" s="8" t="str">
        <x:v>SRC_0089</x:v>
      </x:c>
      <x:c r="C492" s="8" t="str">
        <x:v>Vavniya2023-2033_E.pdf</x:v>
      </x:c>
      <x:c r="D492" s="18" t="n">
        <x:v>159</x:v>
      </x:c>
      <x:c r="E492" s="8" t="str">
        <x:v>plot coverage, setbacks</x:v>
      </x:c>
      <x:c r="F492" s="8" t="str">
        <x:v>er of floors As per the form “A” in Schedule I &amp; “B” in Schedule II viii. Permissible Maximum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 Plot Coverage should be maintained as 75%  Drainages should be constructed in order to runoff the overflow of strom water into main strom water drainage channel in every development || sible Maximum Plot Coverage As per the form “B” in Schedule II and form “E” in Schedule III ix. Setbacks &amp; maximum height As per the form “E” in Schedule III x. Minimum land extent for sub division 150 Sq.m xi. Permissible uses As per the form “F” in Schedule IV &amp; “G” in Schedule V xii. Common zoning regulations  Plot Coverage should be maintained as 75%  Drainages should be constructed in order to runoff the overflow of strom water into main strom water drainage channel in every development || es As per the form “F” in Schedule IV &amp; “G” in Schedule V xii. Common zoning regulations  Plot Coverage should be maintained as 75%  Drainages should be constructed in order to runoff the overflow of strom water into main strom water drainage channel in every development</x:v>
      </x:c>
      <x:c r="G492" s="8" t="str">
        <x:v>candidate_unreviewed</x:v>
      </x:c>
      <x:c r="H492" s="21" t="b">
        <x:v>0</x:v>
      </x:c>
      <x:c r="I492" s="8" t="str">
        <x:v>Keyword extraction only. Read page image and full context before promoting. English search cannot exclude Sinhala/Tamil or image-only content.</x:v>
      </x:c>
    </x:row>
    <x:row r="493" ht="350" customHeight="1">
      <x:c r="A493" s="11" t="str">
        <x:v>C00492</x:v>
      </x:c>
      <x:c r="B493" s="11" t="str">
        <x:v>SRC_0089</x:v>
      </x:c>
      <x:c r="C493" s="11" t="str">
        <x:v>Vavniya2023-2033_E.pdf</x:v>
      </x:c>
      <x:c r="D493" s="22" t="n">
        <x:v>160</x:v>
      </x:c>
      <x:c r="E493" s="11" t="str">
        <x:v>plot coverage, setbacks</x:v>
      </x:c>
      <x:c r="F493" s="11" t="str">
        <x:v>mber of floors As per the form “A” in Schedule I &amp; “B” in Schedule II xx. Permissible Maximum Plot Coverage As per the form “B” in Schedule II and form “E” in Schedule III xxi. Setbacks &amp; maximum height As per the form “E” in Schedule III xxii. Minimum land extent for sub division 150 Sq.m xxiii. Permissible uses xxiv. As per the form “F” in Schedule IV &amp; “G” in Schedule V xxv. Common zoning regulations Nature friendly tourism related development (Ex: huts, watching area) Irrigation based development activity Development activity for the Flood mitigation Any other activities permitted by the Planning Committee || sible Maximum Plot Coverage As per the form “B” in Schedule II and form “E” in Schedule III xxi. Setbacks &amp; maximum height As per the form “E” in Schedule III xxii. Minimum land extent for sub division 150 Sq.m xxiii. Permissible uses xxiv. As per the form “F” in Schedule IV &amp; “G” in Schedule V xxv. Common zoning regulations Nature friendly tourism related development (Ex: huts, watching area) Irrigation based development activity Development activity for the Flood mitigation Any other activities permitted by the Planning Committee</x:v>
      </x:c>
      <x:c r="G493" s="11" t="str">
        <x:v>candidate_unreviewed</x:v>
      </x:c>
      <x:c r="H493" s="24" t="b">
        <x:v>0</x:v>
      </x:c>
      <x:c r="I493" s="11" t="str">
        <x:v>Keyword extraction only. Read page image and full context before promoting. English search cannot exclude Sinhala/Tamil or image-only content.</x:v>
      </x:c>
    </x:row>
    <x:row r="494" ht="210" customHeight="1">
      <x:c r="A494" s="8" t="str">
        <x:v>C00493</x:v>
      </x:c>
      <x:c r="B494" s="8" t="str">
        <x:v>SRC_0089</x:v>
      </x:c>
      <x:c r="C494" s="8" t="str">
        <x:v>Vavniya2023-2033_E.pdf</x:v>
      </x:c>
      <x:c r="D494" s="18" t="n">
        <x:v>163</x:v>
      </x:c>
      <x:c r="E494" s="8" t="str">
        <x:v>minimum width</x:v>
      </x:c>
      <x:c r="F494" s="8" t="str">
        <x:v>minimum of 12m (from road center) Building Line, if not maximum FAR shall be limited to 9.0 • Minimum Width of the roads that do not have a specified Street line / Building line will be decided by the planning committee based on the development trend of the area. Minimum Road Width 6m 9m 12m 15m and above 150 less than 250 3.0 3.4 3.6 4.0 250 less than 375 3.5 4.0 5.0 5.5 375 less than 500 3.6 4.6 5.2 6.0 500 less than 750 3.7 5.1 5.5 6.5 750 less than 1000 3.8 5.2 6.5 7.0 1000 less than 1500 3.9 5.4 7.0 9.0 1500 less than 2000 4.0 5.5 7.5 *10.5 2000 less than 2500 4.0 5.6 7.5 *11 2500 less than 3000 4.0 5.7 8.0 *11.5 3000 less than 3500 4.0 5.8 8.0 *12 3500 less than 4000 4.0 5.9</x:v>
      </x:c>
      <x:c r="G494" s="8" t="str">
        <x:v>candidate_unreviewed</x:v>
      </x:c>
      <x:c r="H494" s="21" t="b">
        <x:v>0</x:v>
      </x:c>
      <x:c r="I494" s="8" t="str">
        <x:v>Keyword extraction only. Read page image and full context before promoting. English search cannot exclude Sinhala/Tamil or image-only content.</x:v>
      </x:c>
    </x:row>
    <x:row r="495" ht="616" customHeight="1">
      <x:c r="A495" s="11" t="str">
        <x:v>C00494</x:v>
      </x:c>
      <x:c r="B495" s="11" t="str">
        <x:v>SRC_0089</x:v>
      </x:c>
      <x:c r="C495" s="11" t="str">
        <x:v>Vavniya2023-2033_E.pdf</x:v>
      </x:c>
      <x:c r="D495" s="22" t="n">
        <x:v>164</x:v>
      </x:c>
      <x:c r="E495" s="11" t="str">
        <x:v>plot coverage, setbacks</x:v>
      </x:c>
      <x:c r="F495" s="11" t="str">
        <x:v>the gazette notification No. 54/2235 dated 08.07.2021by the Urban Development Authority Form E - Setbacks &amp; Open Spaces Building Height (m) Minimum Site Frontage (m) Plot Coverage * Rear Space (m) Side Space (m) Light Well for NLV Non Residential Residentia l When no NLV is taking this end When NLV is taking this end When no NLV is taking this end When NLV is taking this end Minimum width Minimum Area less than 7 6 80%** 65% 2.3m 2.3m - 2.3m 2.3m 5Sq.m 7 less than 15 6 65% 65% 3.0m 3.0m - 3.0m 3.0m 9 Sq.m 15 less than 30 12 65% 65% 4.0m 4.0m 1.0m and 3.0m 4.0m 4.0m 16 Sq.m 30 less than 50 20 65% 65% 4.0m 5.0m 3.0m both side 5.0m 5.0m 25 Sq.m 50 less than 75 30 50%*** 50%*** || nt Authority Form E - Setbacks &amp; Open Spaces Building Height (m) Minimum Site Frontage (m) Plot Coverage * Rear Space (m) Side Space (m) Light Well for NLV Non Residential Residentia l When no NLV is taking this end When NLV is taking this end When no NLV is taking this end When NLV is taking this end Minimum width Minimum Area less than 7 6 80%** 65% 2.3m 2.3m - 2.3m 2.3m 5Sq.m 7 less than 15 6 65% 65% 3.0m 3.0m - 3.0m 3.0m 9 Sq.m 15 less than 30 12 65% 65% 4.0m 4.0m 1.0m and 3.0m 4.0m 4.0m 16 Sq.m 30 less than 50 20 65% 65% 4.0m 5.0m 3.0m both side 5.0m 5.0m 25 Sq.m 50 less than 75 30 50%*** 50%*** 5.0m 6.0m 4.0m both side 6.0m 6.0m 36 Sq.m 75 and above Above 40 50%*** || eight between access road level to roof top or roof level (Including parking floors) * Where no Plot Coverage specified under the zoning regulations ** The entire development is for non-residential activities *** 65% plot coverage can be allowed only for the podium level not exceeding 20% of the tower height or 12 floors whichever is less *** Minimum area shall be increased by 1Sq.m for every additional 3m height Form B - Number of Floors for 3.0m &amp; 4.5m wide Roads Minimum Road Width Minimum Site Frontage Plot Coverage* Maximum Number of Floors Zone Factor 1.50 - 3.49 Zone Factor 3.50 - 4.00 3.0m 6m 65% 3 (G+2) 3 (G+2) 4.5m 6m 65% 3 (G+2) 4 (G+3) Number of floors are indicated including parking areas * Where no p</x:v>
      </x:c>
      <x:c r="G495" s="11" t="str">
        <x:v>candidate_unreviewed</x:v>
      </x:c>
      <x:c r="H495" s="24" t="b">
        <x:v>0</x:v>
      </x:c>
      <x:c r="I495" s="11" t="str">
        <x:v>Keyword extraction only. Read page image and full context before promoting. English search cannot exclude Sinhala/Tamil or image-only content.</x:v>
      </x:c>
    </x:row>
    <x:row r="496" ht="182" customHeight="1">
      <x:c r="A496" s="8" t="str">
        <x:v>C00495</x:v>
      </x:c>
      <x:c r="B496" s="8" t="str">
        <x:v>SRC_0093</x:v>
      </x:c>
      <x:c r="C496" s="8" t="str">
        <x:v>WelimadaDP2023-2033_E.pdf</x:v>
      </x:c>
      <x:c r="D496" s="18" t="n">
        <x:v>138</x:v>
      </x:c>
      <x:c r="E496" s="8" t="str">
        <x:v>bathroom</x:v>
      </x:c>
      <x:c r="F496" s="8" t="str">
        <x:v>ge of waste water. Under this strategy, regulations should be made for the construction of toilets/bathrooms on both sides of Uma Oya in Welimada town and all the sources that release waste water above the drain system prepared for waste water on the main road. Strategy 6: Introducing wastewater management methods specific to those places within the town limits. The development plan proposes to reduce the amount of water entering the water sources of the area and to reduce pollutants by introducing new techniques specific to each premises within the planning area. The Jakashuva strategy.</x:v>
      </x:c>
      <x:c r="G496" s="8" t="str">
        <x:v>candidate_unreviewed</x:v>
      </x:c>
      <x:c r="H496" s="21" t="b">
        <x:v>0</x:v>
      </x:c>
      <x:c r="I496" s="8" t="str">
        <x:v>Keyword extraction only. Read page image and full context before promoting. English search cannot exclude Sinhala/Tamil or image-only content.</x:v>
      </x:c>
    </x:row>
    <x:row r="497" ht="84" customHeight="1">
      <x:c r="A497" s="11" t="str">
        <x:v>C00496</x:v>
      </x:c>
      <x:c r="B497" s="11" t="str">
        <x:v>SRC_0093</x:v>
      </x:c>
      <x:c r="C497" s="11" t="str">
        <x:v>WelimadaDP2023-2033_E.pdf</x:v>
      </x:c>
      <x:c r="D497" s="22" t="n">
        <x:v>212</x:v>
      </x:c>
      <x:c r="E497" s="11" t="str">
        <x:v>plot coverage</x:v>
      </x:c>
      <x:c r="F497" s="11" t="str">
        <x:v>sidered for the allowable Floor Area Ratio for the proposed development. But while calculating the plot coverage percentage, the rest of the plot, excluding the portion belonging to the street line/proposed road width should be considered.</x:v>
      </x:c>
      <x:c r="G497" s="11" t="str">
        <x:v>candidate_unreviewed</x:v>
      </x:c>
      <x:c r="H497" s="24" t="b">
        <x:v>0</x:v>
      </x:c>
      <x:c r="I497" s="11" t="str">
        <x:v>Keyword extraction only. Read page image and full context before promoting. English search cannot exclude Sinhala/Tamil or image-only content.</x:v>
      </x:c>
    </x:row>
    <x:row r="498" ht="238" customHeight="1">
      <x:c r="A498" s="8" t="str">
        <x:v>C00497</x:v>
      </x:c>
      <x:c r="B498" s="8" t="str">
        <x:v>SRC_0093</x:v>
      </x:c>
      <x:c r="C498" s="8" t="str">
        <x:v>WelimadaDP2023-2033_E.pdf</x:v>
      </x:c>
      <x:c r="D498" s="18" t="n">
        <x:v>213</x:v>
      </x:c>
      <x:c r="E498" s="8" t="str">
        <x:v>minimum width</x:v>
      </x:c>
      <x:c r="F498" s="8" t="str">
        <x:v>12 6. In cases where the development premises face more than one road having right of way with a minimum width of 6 m. or more than that and connected to main roads independently, the sum of the widths of all those roads may be considered as the access road width to calculate the permissible development on a case-by-case basis 7. In cases of bank cutting for construction work on a sloped land, the recommendations of the relevant institutions should be obtained and a space of at least 1 meter should be allocated from the upper edge of the cutting plane to the border of the adjacent fence. 8. In cases where any land belongs to two or more zones, the designated zone of the land is determined as the zone which provides the main access to the res</x:v>
      </x:c>
      <x:c r="G498" s="8" t="str">
        <x:v>candidate_unreviewed</x:v>
      </x:c>
      <x:c r="H498" s="21" t="b">
        <x:v>0</x:v>
      </x:c>
      <x:c r="I498" s="8" t="str">
        <x:v>Keyword extraction only. Read page image and full context before promoting. English search cannot exclude Sinhala/Tamil or image-only content.</x:v>
      </x:c>
    </x:row>
    <x:row r="499" ht="616" customHeight="1">
      <x:c r="A499" s="11" t="str">
        <x:v>C00498</x:v>
      </x:c>
      <x:c r="B499" s="11" t="str">
        <x:v>SRC_0093</x:v>
      </x:c>
      <x:c r="C499" s="11" t="str">
        <x:v>WelimadaDP2023-2033_E.pdf</x:v>
      </x:c>
      <x:c r="D499" s="22" t="n">
        <x:v>217</x:v>
      </x:c>
      <x:c r="E499" s="11" t="str">
        <x:v>minimum width, plot coverage</x:v>
      </x:c>
      <x:c r="F499" s="11" t="str">
        <x:v>Welimada Development Plan 2023 – 2033 216 3 Minimum width of stairs 12 inches 4 Maximum legnth of stairs 300 meters 5 fall Every 20 steps (Minimum 1.8m*m1) 6 Building line 1 meter from the edge Source : Urban Development Authority, 2023 34. The following specifications are applicable in the development of existing and new Alleyways in the town. a) Minimum width 1.8 meter. b) Lighting should be done. c) Landscaping should be done. 35. In all these regions, the concept of allotment gardening will be given priority and consideration will be given to increase the percentage of floor area ratio up to a maximum of 30% as per the percentage of the allocation of l || ng specifications are applicable in the development of existing and new Alleyways in the town. a) Minimum width 1.8 meter. b) Lighting should be done. c) Landscaping should be done. 35. In all these regions, the concept of allotment gardening will be given priority and consideration will be given to increase the percentage of floor area ratio up to a maximum of 30% as per the percentage of the allocation of land for the allotment gardening. 36. Number of Floors for 3m, 4.5m roads and stairs with a minimum width of 1.8m should be placed as per form “B”. (For residential, commercial (retail) and tourist uses only). Form "B"– number of floors for the roads of 3 m. and 4.5 m. width and for steped roads of 1.5 m. width minimum width of the || on of land for the allotment gardening. 36. Number of Floors for 3m, 4.5m roads and stairs with a minimum width of 1.8m should be placed as per form “B”. (For residential, commercial (retail) and tourist uses only). Form "B"– number of floors for the roads of 3 m. and 4.5 m. width and for steped roads of 1.5 m. width minimum width of the road minimum road frontage * Plot Coverage Maximum no. of Floors Zone Factor 0.5 - 0.74 Zone Factor 0.75 - 1.24 Zone Factor 1.25 - 3.49 3 m. 6 m. 65% 1 (G) 2 (G+1) 3 (G+2) 4.5 m. 6 m. 65% 1 (G) 2 (G+1) 3 (G+2) 1.8 m. (stairs**) 6 m. 65% 1 (G) 2 (G+1) 3 (G+2) The number of floors are given above including parking spaces. The maximum height of the building should be less t</x:v>
      </x:c>
      <x:c r="G499" s="11" t="str">
        <x:v>candidate_unreviewed</x:v>
      </x:c>
      <x:c r="H499" s="24" t="b">
        <x:v>0</x:v>
      </x:c>
      <x:c r="I499" s="11" t="str">
        <x:v>Keyword extraction only. Read page image and full context before promoting. English search cannot exclude Sinhala/Tamil or image-only content.</x:v>
      </x:c>
    </x:row>
    <x:row r="500" ht="588" customHeight="1">
      <x:c r="A500" s="8" t="str">
        <x:v>C00499</x:v>
      </x:c>
      <x:c r="B500" s="8" t="str">
        <x:v>SRC_0093</x:v>
      </x:c>
      <x:c r="C500" s="8" t="str">
        <x:v>WelimadaDP2023-2033_E.pdf</x:v>
      </x:c>
      <x:c r="D500" s="18" t="n">
        <x:v>220</x:v>
      </x:c>
      <x:c r="E500" s="8" t="str">
        <x:v>bathroom, bed room, light and ventilation, minimum floor area</x:v>
      </x:c>
      <x:c r="F500" s="8" t="str">
        <x:v>Minimum specifications required if accommodation facilities are maintained with below elements. Bed rooms The minimum floor area for every three occupants shall be 09 square meters, with a minimum of 2.5 meters per side. Common room Should not be less than 10 square meters. One out of every 09 people should have guest accommodation. Toilet and bathroom facilities Electricity Adequate electricity should be provided for each room. Water If potable water is not available from a main supply system, the source of water must be obtained under the approval of the Community Health Officer. b) Tution Classes Lecture hall When open to the opening receiving natural light and ventilation, the light and ventilation of the win || cations required if accommodation facilities are maintained with below elements. Bed rooms The minimum floor area for every three occupants shall be 09 square meters, with a minimum of 2.5 meters per side. Common room Should not be less than 10 square meters. One out of every 09 people should have guest accommodation. Toilet and bathroom facilities Electricity Adequate electricity should be provided for each room. Water If potable water is not available from a main supply system, the source of water must be obtained under the approval of the Community Health Officer. b) Tution Classes Lecture hall When open to the opening receiving natural light and ventilation, the light and ventilation of the window can be obtained only || than 10 square meters. One out of every 09 people should have guest accommodation. Toilet and bathroom facilities Electricity Adequate electricity should be provided for each room. Water If potable water is not available from a main supply system, the source of water must be obtained under the approval of the Community Health Officer. b) Tution Classes Lecture hall When open to the opening receiving natural light and ventilation, the light and ventilation of the window can be obtained only up to 7 meters from the outer edge of the window of the hall being served.</x:v>
      </x:c>
      <x:c r="G500" s="8" t="str">
        <x:v>candidate_unreviewed</x:v>
      </x:c>
      <x:c r="H500" s="21" t="b">
        <x:v>0</x:v>
      </x:c>
      <x:c r="I500" s="8" t="str">
        <x:v>Keyword extraction only. Read page image and full context before promoting. English search cannot exclude Sinhala/Tamil or image-only content.</x:v>
      </x:c>
    </x:row>
    <x:row r="501" ht="56" customHeight="1">
      <x:c r="A501" s="11" t="str">
        <x:v>C00500</x:v>
      </x:c>
      <x:c r="B501" s="11" t="str">
        <x:v>SRC_0093</x:v>
      </x:c>
      <x:c r="C501" s="11" t="str">
        <x:v>WelimadaDP2023-2033_E.pdf</x:v>
      </x:c>
      <x:c r="D501" s="22" t="n">
        <x:v>223</x:v>
      </x:c>
      <x:c r="E501" s="11" t="str">
        <x:v>plot coverage</x:v>
      </x:c>
      <x:c r="F501" s="11" t="str">
        <x:v>d including parking areas. Number of units allowed for each road shall not change. * Where not plot coverage specified under the zoning regulations</x:v>
      </x:c>
      <x:c r="G501" s="11" t="str">
        <x:v>candidate_unreviewed</x:v>
      </x:c>
      <x:c r="H501" s="24" t="b">
        <x:v>0</x:v>
      </x:c>
      <x:c r="I501" s="11" t="str">
        <x:v>Keyword extraction only. Read page image and full context before promoting. English search cannot exclude Sinhala/Tamil or image-only content.</x:v>
      </x:c>
    </x:row>
    <x:row r="502" ht="574" customHeight="1">
      <x:c r="A502" s="8" t="str">
        <x:v>C00501</x:v>
      </x:c>
      <x:c r="B502" s="8" t="str">
        <x:v>SRC_0093</x:v>
      </x:c>
      <x:c r="C502" s="8" t="str">
        <x:v>WelimadaDP2023-2033_E.pdf</x:v>
      </x:c>
      <x:c r="D502" s="18" t="n">
        <x:v>224</x:v>
      </x:c>
      <x:c r="E502" s="8" t="str">
        <x:v>plot coverage, setbacks</x:v>
      </x:c>
      <x:c r="F502" s="8" t="str">
        <x:v>Welimada Development Plan 2023 – 2033 223 Schedule III – Form “E": Setbacks and Open Spaces published by the Urban Development Authority under the Gazette No. 2235/54 dated 07/08/2021 Form "E": Setbacks and Open Spaces Building Height (m) Minimum Site Frontage ) m ( Plot Coverage * Rear Space (m) Side Space (m) light Well for NLV Non Residential Residential When no NLV is taking this end ) m ( When NLV is taking this end ) m ( When no NLV is taking this end (m) When NLV is taking this end ) m ( Minimum Width (m) Minimum Area ) Sq.m (. Less than 7 6 80%** 65% 2.3 meters 2.3 meters - 2.3 meters 2.3 meters . 5 Sq.m . 7 less than 15 6 || ished by the Urban Development Authority under the Gazette No. 2235/54 dated 07/08/2021 Form "E": Setbacks and Open Spaces Building Height (m) Minimum Site Frontage ) m ( Plot Coverage * Rear Space (m) Side Space (m) light Well for NLV Non Residential Residential When no NLV is taking this end ) m ( When NLV is taking this end ) m ( When no NLV is taking this end (m) When NLV is taking this end ) m ( Minimum Width (m) Minimum Area ) Sq.m (. Less than 7 6 80%** 65% 2.3 meters 2.3 meters - 2.3 meters 2.3 meters . 5 Sq.m . 7 less than 15 6 65% 65% 3.0 meters 3.0 meters - 3.0 meters 3.0 meters . 9 Sq.m . 15 less than 30 12 65% 65% 4.0 meters 4.0 meters 1. || 21 Form "E": Setbacks and Open Spaces Building Height (m) Minimum Site Frontage ) m ( Plot Coverage * Rear Space (m) Side Space (m) light Well for NLV Non Residential Residential When no NLV is taking this end ) m ( When NLV is taking this end ) m ( When no NLV is taking this end (m) When NLV is taking this end ) m ( Minimum Width (m) Minimum Area ) Sq.m (. Less than 7 6 80%** 65% 2.3 meters 2.3 meters - 2.3 meters 2.3 meters . 5 Sq.m . 7 less than 15 6 65% 65% 3.0 meters 3.0 meters - 3.0 meters 3.0 meters . 9 Sq.m . 15 less than 30 12 65% 65% 4.0 meters 4.0 meters 1.0 m. &amp; 3.0m. 4.0 meters 4.0 meters . 16 Sq.m . 30 less than 50 20 65% 65% 4.0 me</x:v>
      </x:c>
      <x:c r="G502" s="8" t="str">
        <x:v>candidate_unreviewed</x:v>
      </x:c>
      <x:c r="H502" s="21" t="b">
        <x:v>0</x:v>
      </x:c>
      <x:c r="I502" s="8" t="str">
        <x:v>Keyword extraction only. Read page image and full context before promoting. English search cannot exclude Sinhala/Tamil or image-only content.</x:v>
      </x:c>
    </x:row>
    <x:row r="503" ht="98" customHeight="1">
      <x:c r="A503" s="11" t="str">
        <x:v>C00502</x:v>
      </x:c>
      <x:c r="B503" s="11" t="str">
        <x:v>SRC_0093</x:v>
      </x:c>
      <x:c r="C503" s="11" t="str">
        <x:v>WelimadaDP2023-2033_E.pdf</x:v>
      </x:c>
      <x:c r="D503" s="22" t="n">
        <x:v>246</x:v>
      </x:c>
      <x:c r="E503" s="11" t="str">
        <x:v>setbacks</x:v>
      </x:c>
      <x:c r="F503" s="11" t="str">
        <x:v>rmissible Maximum Plot Coverage As per the form “B” in Schedule II and form “E” in Schedule III Setbacks &amp; maximum height As per the form “E” in Schedule III Minimum land extent for sub division 150 Sq.m. Permissible uses As per the form “F” in Schedule IV &amp; “G” in Schedule V</x:v>
      </x:c>
      <x:c r="G503" s="11" t="str">
        <x:v>candidate_unreviewed</x:v>
      </x:c>
      <x:c r="H503" s="24" t="b">
        <x:v>0</x:v>
      </x:c>
      <x:c r="I503" s="11" t="str">
        <x:v>Keyword extraction only. Read page image and full context before promoting. English search cannot exclude Sinhala/Tamil or image-only content.</x:v>
      </x:c>
    </x:row>
    <x:row r="504" ht="84" customHeight="1">
      <x:c r="A504" s="8" t="str">
        <x:v>C00503</x:v>
      </x:c>
      <x:c r="B504" s="8" t="str">
        <x:v>SRC_0093</x:v>
      </x:c>
      <x:c r="C504" s="8" t="str">
        <x:v>WelimadaDP2023-2033_E.pdf</x:v>
      </x:c>
      <x:c r="D504" s="18" t="n">
        <x:v>252</x:v>
      </x:c>
      <x:c r="E504" s="8" t="str">
        <x:v>plot coverage</x:v>
      </x:c>
      <x:c r="F504" s="8" t="str">
        <x:v>ed with a maximum of 5 floors consisting of Basement, ground floor and 3 floors only. Permissible plot Coverage 80 % Minimum Land Extent for Subdivisions i. Approval can be granted for existing lots ii. 150 Sq. m. Frontage of the Building 3 m.</x:v>
      </x:c>
      <x:c r="G504" s="8" t="str">
        <x:v>candidate_unreviewed</x:v>
      </x:c>
      <x:c r="H504" s="21" t="b">
        <x:v>0</x:v>
      </x:c>
      <x:c r="I504" s="8" t="str">
        <x:v>Keyword extraction only. Read page image and full context before promoting. English search cannot exclude Sinhala/Tamil or image-only content.</x:v>
      </x:c>
    </x:row>
    <x:row r="505" ht="98" customHeight="1">
      <x:c r="A505" s="11" t="str">
        <x:v>C00504</x:v>
      </x:c>
      <x:c r="B505" s="11" t="str">
        <x:v>SRC_0093</x:v>
      </x:c>
      <x:c r="C505" s="11" t="str">
        <x:v>WelimadaDP2023-2033_E.pdf</x:v>
      </x:c>
      <x:c r="D505" s="22" t="n">
        <x:v>255</x:v>
      </x:c>
      <x:c r="E505" s="11" t="str">
        <x:v>setbacks</x:v>
      </x:c>
      <x:c r="F505" s="11" t="str">
        <x:v>&amp; “B” in Schedule II Permissible Maximum Plot Coverage Residential – 60% Commercial – 70% Setbacks &amp; maximum height As per the form “E” in Schedule III Minimum land extent for sub division 200 Sq.m. Permissible uses As per the form “F” in Schedule IV &amp; “G” in Schedule V</x:v>
      </x:c>
      <x:c r="G505" s="11" t="str">
        <x:v>candidate_unreviewed</x:v>
      </x:c>
      <x:c r="H505" s="24" t="b">
        <x:v>0</x:v>
      </x:c>
      <x:c r="I505" s="11" t="str">
        <x:v>Keyword extraction only. Read page image and full context before promoting. English search cannot exclude Sinhala/Tamil or image-only content.</x:v>
      </x:c>
    </x:row>
    <x:row r="506" ht="168" customHeight="1">
      <x:c r="A506" s="8" t="str">
        <x:v>C00505</x:v>
      </x:c>
      <x:c r="B506" s="8" t="str">
        <x:v>SRC_0093</x:v>
      </x:c>
      <x:c r="C506" s="8" t="str">
        <x:v>WelimadaDP2023-2033_E.pdf</x:v>
      </x:c>
      <x:c r="D506" s="18" t="n">
        <x:v>258</x:v>
      </x:c>
      <x:c r="E506" s="8" t="str">
        <x:v>setbacks</x:v>
      </x:c>
      <x:c r="F506" s="8" t="str">
        <x:v>ermissible Maximum Plot Coverage As per the form “B” in Schedule II and form “E” in Schedule III Setbacks &amp; maximum height As per the form “E” in Schedule III Minimum land extent for sub division Commercial -150 Sq.m. Residential – 200 Sq.m. Permissible uses As per the form “F” in Schedule IV &amp; “G” in Schedule V Common zoning regulations i. Preliminary Planning Clearance should be obtained from the Urban Development Authority for the more that 40 Perches land for Institutional or Commercial activities in this zone.</x:v>
      </x:c>
      <x:c r="G506" s="8" t="str">
        <x:v>candidate_unreviewed</x:v>
      </x:c>
      <x:c r="H506" s="21" t="b">
        <x:v>0</x:v>
      </x:c>
      <x:c r="I506" s="8" t="str">
        <x:v>Keyword extraction only. Read page image and full context before promoting. English search cannot exclude Sinhala/Tamil or image-only content.</x:v>
      </x:c>
    </x:row>
    <x:row r="507" ht="140" customHeight="1">
      <x:c r="A507" s="11" t="str">
        <x:v>C00506</x:v>
      </x:c>
      <x:c r="B507" s="11" t="str">
        <x:v>SRC_0093</x:v>
      </x:c>
      <x:c r="C507" s="11" t="str">
        <x:v>WelimadaDP2023-2033_E.pdf</x:v>
      </x:c>
      <x:c r="D507" s="22" t="n">
        <x:v>261</x:v>
      </x:c>
      <x:c r="E507" s="11" t="str">
        <x:v>setbacks</x:v>
      </x:c>
      <x:c r="F507" s="11" t="str">
        <x:v>missible Maximum Plot Coverage As per the form “B” in Schedule II and form “E” in Schedule III Setbacks &amp; maximum height As per the form “E” in Schedule III Minimum land extent for sub division 250 Sq.m. Permissible uses As per the form “F” in Schedule IV &amp; “G” in Schedule V Common zoning regulations i. Preliminary Planning Clearance should be obtained from the Urban Development Authority for the more</x:v>
      </x:c>
      <x:c r="G507" s="11" t="str">
        <x:v>candidate_unreviewed</x:v>
      </x:c>
      <x:c r="H507" s="24" t="b">
        <x:v>0</x:v>
      </x:c>
      <x:c r="I507" s="11" t="str">
        <x:v>Keyword extraction only. Read page image and full context before promoting. English search cannot exclude Sinhala/Tamil or image-only content.</x:v>
      </x:c>
    </x:row>
    <x:row r="508" ht="168" customHeight="1">
      <x:c r="A508" s="8" t="str">
        <x:v>C00507</x:v>
      </x:c>
      <x:c r="B508" s="8" t="str">
        <x:v>SRC_0093</x:v>
      </x:c>
      <x:c r="C508" s="8" t="str">
        <x:v>WelimadaDP2023-2033_E.pdf</x:v>
      </x:c>
      <x:c r="D508" s="18" t="n">
        <x:v>265</x:v>
      </x:c>
      <x:c r="E508" s="8" t="str">
        <x:v>setbacks</x:v>
      </x:c>
      <x:c r="F508" s="8" t="str">
        <x:v>rmissible Maximum Plot Coverage As per the form “B” in Schedule II and form “E” in Schedule III Setbacks &amp; maximum height As per the form “E” in Schedule III Minimum land extent for sub division Residential – 250 Sq. m. Commercial – 150 Sq.m. Permissible uses As per the form “F” in Schedule IV &amp; “G” in Schedule V Common zoning regulations i. In any development activity, if any land is situated on the border of a natural waterway/canal, the reservation of that canal should be physically separated and plants should be planted and</x:v>
      </x:c>
      <x:c r="G508" s="8" t="str">
        <x:v>candidate_unreviewed</x:v>
      </x:c>
      <x:c r="H508" s="21" t="b">
        <x:v>0</x:v>
      </x:c>
      <x:c r="I508" s="8" t="str">
        <x:v>Keyword extraction only. Read page image and full context before promoting. English search cannot exclude Sinhala/Tamil or image-only content.</x:v>
      </x:c>
    </x:row>
    <x:row r="509" ht="210" customHeight="1">
      <x:c r="A509" s="11" t="str">
        <x:v>C00508</x:v>
      </x:c>
      <x:c r="B509" s="11" t="str">
        <x:v>SRC_0093</x:v>
      </x:c>
      <x:c r="C509" s="11" t="str">
        <x:v>WelimadaDP2023-2033_E.pdf</x:v>
      </x:c>
      <x:c r="D509" s="22" t="n">
        <x:v>268</x:v>
      </x:c>
      <x:c r="E509" s="11" t="str">
        <x:v>setbacks</x:v>
      </x:c>
      <x:c r="F509" s="11" t="str">
        <x:v>rmissible Maximum Plot Coverage As per the form “B” in Schedule II and form “E” in Schedule III Setbacks &amp; maximum height As per the form “E” in Schedule III Minimum land extent for sub division Sub-divisions are allowed for tourist use only. Minimum area of a plot is 500 square meters. Residential use is permitted only for existing plots. Permissible uses As per the form “F” in Schedule IV &amp; “G” in Schedule V Common zoning regulations i. Preliminary Planning Clearance should be obtained from the Urban Development Authority before carrying out development activities in this zone. ii. Only tourism activities compatible with agro-tourism are permitted.</x:v>
      </x:c>
      <x:c r="G509" s="11" t="str">
        <x:v>candidate_unreviewed</x:v>
      </x:c>
      <x:c r="H509" s="24" t="b">
        <x:v>0</x:v>
      </x:c>
      <x:c r="I509" s="11" t="str">
        <x:v>Keyword extraction only. Read page image and full context before promoting. English search cannot exclude Sinhala/Tamil or image-only content.</x:v>
      </x:c>
    </x:row>
    <x:row r="510" ht="154" customHeight="1">
      <x:c r="A510" s="8" t="str">
        <x:v>C00509</x:v>
      </x:c>
      <x:c r="B510" s="8" t="str">
        <x:v>SRC_0093</x:v>
      </x:c>
      <x:c r="C510" s="8" t="str">
        <x:v>WelimadaDP2023-2033_E.pdf</x:v>
      </x:c>
      <x:c r="D510" s="18" t="n">
        <x:v>272</x:v>
      </x:c>
      <x:c r="E510" s="8" t="str">
        <x:v>setbacks</x:v>
      </x:c>
      <x:c r="F510" s="8" t="str">
        <x:v>ermissible Maximum Plot Coverage As per the form “B” in Schedule II and form “E” in Schedule III Setbacks &amp; maximum height As per the form “E” in Schedule III Minimum land extent for sub division 500 Sq.m. Permissible uses As per the form “F” in Schedule IV &amp; “G” in Schedule V Common zoning regulations i. Preliminary Planning Clearance should be obtained from the Urban Development Authority before carrying out development activities in this zone.</x:v>
      </x:c>
      <x:c r="G510" s="8" t="str">
        <x:v>candidate_unreviewed</x:v>
      </x:c>
      <x:c r="H510" s="21" t="b">
        <x:v>0</x:v>
      </x:c>
      <x:c r="I510" s="8" t="str">
        <x:v>Keyword extraction only. Read page image and full context before promoting. English search cannot exclude Sinhala/Tamil or image-only content.</x:v>
      </x:c>
    </x:row>
    <x:row r="511" ht="84" customHeight="1">
      <x:c r="A511" s="11" t="str">
        <x:v>C00510</x:v>
      </x:c>
      <x:c r="B511" s="11" t="str">
        <x:v>SRC_0094</x:v>
      </x:c>
      <x:c r="C511" s="11" t="str">
        <x:v>Wellawaya_E_20240913.pdf</x:v>
      </x:c>
      <x:c r="D511" s="22" t="n">
        <x:v>279</x:v>
      </x:c>
      <x:c r="E511" s="11" t="str">
        <x:v>setbacks</x:v>
      </x:c>
      <x:c r="F511" s="11" t="str">
        <x:v>n Development Authority under the Gazette No. 2235/54 dated 07/08/2021 Schedule III – Form "E": . Setbacks and Open Spaces published by the Urban Development Authority under the Gazette No. 2235/54 dated 07/08/2021</x:v>
      </x:c>
      <x:c r="G511" s="11" t="str">
        <x:v>candidate_unreviewed</x:v>
      </x:c>
      <x:c r="H511" s="24" t="b">
        <x:v>0</x:v>
      </x:c>
      <x:c r="I511" s="11" t="str">
        <x:v>Keyword extraction only. Read page image and full context before promoting. English search cannot exclude Sinhala/Tamil or image-only content.</x:v>
      </x:c>
    </x:row>
    <x:row r="512" ht="238" customHeight="1">
      <x:c r="A512" s="8" t="str">
        <x:v>C00511</x:v>
      </x:c>
      <x:c r="B512" s="8" t="str">
        <x:v>SRC_0094</x:v>
      </x:c>
      <x:c r="C512" s="8" t="str">
        <x:v>Wellawaya_E_20240913.pdf</x:v>
      </x:c>
      <x:c r="D512" s="18" t="n">
        <x:v>280</x:v>
      </x:c>
      <x:c r="E512" s="8" t="str">
        <x:v>plot coverage</x:v>
      </x:c>
      <x:c r="F512" s="8" t="str">
        <x:v>sidered for the allowable Floor Area Ratio for the proposed development. But while calculating the plot coverage percentage, the rest of the plot, excluding the portion belonging to the street line/proposed road width should be considered. 4. In cases of bank cutting for construction work on a sloped land, the recommendations of the relevant institutions should be obtained and a space of at least 1 meter should be allocated from the upper edge of the cutting plane to the border of the adjacent fence. 5. In case the boundaries shown in the zoning plan are defined by both physical boundaries and (Google Earth) geographical coordinates, in case of boundary change, the physical boundary shall be taken as the boundary of the zone. 6. The Authorit</x:v>
      </x:c>
      <x:c r="G512" s="8" t="str">
        <x:v>candidate_unreviewed</x:v>
      </x:c>
      <x:c r="H512" s="21" t="b">
        <x:v>0</x:v>
      </x:c>
      <x:c r="I512" s="8" t="str">
        <x:v>Keyword extraction only. Read page image and full context before promoting. English search cannot exclude Sinhala/Tamil or image-only content.</x:v>
      </x:c>
    </x:row>
    <x:row r="513" ht="238" customHeight="1">
      <x:c r="A513" s="11" t="str">
        <x:v>C00512</x:v>
      </x:c>
      <x:c r="B513" s="11" t="str">
        <x:v>SRC_0094</x:v>
      </x:c>
      <x:c r="C513" s="11" t="str">
        <x:v>Wellawaya_E_20240913.pdf</x:v>
      </x:c>
      <x:c r="D513" s="22" t="n">
        <x:v>281</x:v>
      </x:c>
      <x:c r="E513" s="11" t="str">
        <x:v>minimum width</x:v>
      </x:c>
      <x:c r="F513" s="11" t="str">
        <x:v>e. 14. In cases where the development premises face more than one road having right of way with a minimum width of 6 m. or more than that and connected to main roads independently, the sum of the widths of all those roads may be considered as the access road width to calculate the permissible development on a case-by-case basis. 15. Special Development Projects and Special Development Areas located within this area shall be subject to the regulations introduced in those areas and projects. 16. The Authority has the power to declare any area containing development as a Special Project Area, Redevelopment Area, Special Housing Project Area, Central Commercial Area, Scenic Area, Conservation Area, Cultural Area, or any other area which appropri</x:v>
      </x:c>
      <x:c r="G513" s="11" t="str">
        <x:v>candidate_unreviewed</x:v>
      </x:c>
      <x:c r="H513" s="24" t="b">
        <x:v>0</x:v>
      </x:c>
      <x:c r="I513" s="11" t="str">
        <x:v>Keyword extraction only. Read page image and full context before promoting. English search cannot exclude Sinhala/Tamil or image-only content.</x:v>
      </x:c>
    </x:row>
    <x:row r="514" ht="434" customHeight="1">
      <x:c r="A514" s="8" t="str">
        <x:v>C00513</x:v>
      </x:c>
      <x:c r="B514" s="8" t="str">
        <x:v>SRC_0094</x:v>
      </x:c>
      <x:c r="C514" s="8" t="str">
        <x:v>Wellawaya_E_20240913.pdf</x:v>
      </x:c>
      <x:c r="D514" s="18" t="n">
        <x:v>283</x:v>
      </x:c>
      <x:c r="E514" s="8" t="str">
        <x:v>minimum width, staircase</x:v>
      </x:c>
      <x:c r="F514" s="8" t="str">
        <x:v>er Government bodies. 37. If access is obtained through a stairway for any development work, the minimum width of the stair way should be 01 meter and a road reservation should be physically separated from the center of the staircase at 1.5 meters on both sides. 38. After considering the nature of the development, the need and geographical factors, the Urban Development Authority may consider granting permission for development in an area with roads and stair way less than 3 meters. In such cases, the developer shall provide parking facilities at a suitable location as per the parking requirement. 39. If it is not possible to provide vehicle parking space within the development land itself, the land within a radius of 500 meters from || ay should be 01 meter and a road reservation should be physically separated from the center of the staircase at 1.5 meters on both sides. 38. After considering the nature of the development, the need and geographical factors, the Urban Development Authority may consider granting permission for development in an area with roads and stair way less than 3 meters. In such cases, the developer shall provide parking facilities at a suitable location as per the parking requirement. 39. If it is not possible to provide vehicle parking space within the development land itself, the land within a radius of 500 meters from the particular site may be used for the purpose subject to preliminary planning clearance. 40. In case of access by stair</x:v>
      </x:c>
      <x:c r="G514" s="8" t="str">
        <x:v>candidate_unreviewed</x:v>
      </x:c>
      <x:c r="H514" s="21" t="b">
        <x:v>0</x:v>
      </x:c>
      <x:c r="I514" s="8" t="str">
        <x:v>Keyword extraction only. Read page image and full context before promoting. English search cannot exclude Sinhala/Tamil or image-only content.</x:v>
      </x:c>
    </x:row>
    <x:row r="515" ht="98" customHeight="1">
      <x:c r="A515" s="11" t="str">
        <x:v>C00514</x:v>
      </x:c>
      <x:c r="B515" s="11" t="str">
        <x:v>SRC_0094</x:v>
      </x:c>
      <x:c r="C515" s="11" t="str">
        <x:v>Wellawaya_E_20240913.pdf</x:v>
      </x:c>
      <x:c r="D515" s="22" t="n">
        <x:v>289</x:v>
      </x:c>
      <x:c r="E515" s="11" t="str">
        <x:v>setbacks</x:v>
      </x:c>
      <x:c r="F515" s="11" t="str">
        <x:v>chedule II Permissible Maximum Plot Coverage i. Residential – 65% ii. Non residential – 80% Setbacks &amp; Maximum height As per the form “E” in Schedule III Minimum land extent for subdivision 150 Sq.m. (6 Perches) Permissible uses As per the form “F” in Schedule IV &amp; “G” in Schedule V</x:v>
      </x:c>
      <x:c r="G515" s="11" t="str">
        <x:v>candidate_unreviewed</x:v>
      </x:c>
      <x:c r="H515" s="24" t="b">
        <x:v>0</x:v>
      </x:c>
      <x:c r="I515" s="11" t="str">
        <x:v>Keyword extraction only. Read page image and full context before promoting. English search cannot exclude Sinhala/Tamil or image-only content.</x:v>
      </x:c>
    </x:row>
    <x:row r="516" ht="238" customHeight="1">
      <x:c r="A516" s="8" t="str">
        <x:v>C00515</x:v>
      </x:c>
      <x:c r="B516" s="8" t="str">
        <x:v>SRC_0094</x:v>
      </x:c>
      <x:c r="C516" s="8" t="str">
        <x:v>Wellawaya_E_20240913.pdf</x:v>
      </x:c>
      <x:c r="D516" s="18" t="n">
        <x:v>290</x:v>
      </x:c>
      <x:c r="E516" s="8" t="str">
        <x:v>plot coverage</x:v>
      </x:c>
      <x:c r="F516" s="8" t="str">
        <x:v>zone. • The remaining land (35%) should be maintained as green cover in addition to the approved plot coverage from residential uses of the proposed land. • A landscape plan for all buildings above 400 square meters should be submitted with the building plan. • a preliminary planning approval should be obtained from the Urban Development Authority for all the development activities carried out in this zone, • The ground floor and the first floor of the buildings facing the main roads in this zone should not be used for residential purposes except in cases where permission has been obtained from the Urban Development Authority. • The approved use or existing uses of any building shall not be changed without the permission of the Urban Deve</x:v>
      </x:c>
      <x:c r="G516" s="8" t="str">
        <x:v>candidate_unreviewed</x:v>
      </x:c>
      <x:c r="H516" s="21" t="b">
        <x:v>0</x:v>
      </x:c>
      <x:c r="I516" s="8" t="str">
        <x:v>Keyword extraction only. Read page image and full context before promoting. English search cannot exclude Sinhala/Tamil or image-only content.</x:v>
      </x:c>
    </x:row>
    <x:row r="517" ht="98" customHeight="1">
      <x:c r="A517" s="11" t="str">
        <x:v>C00516</x:v>
      </x:c>
      <x:c r="B517" s="11" t="str">
        <x:v>SRC_0094</x:v>
      </x:c>
      <x:c r="C517" s="11" t="str">
        <x:v>Wellawaya_E_20240913.pdf</x:v>
      </x:c>
      <x:c r="D517" s="22" t="n">
        <x:v>291</x:v>
      </x:c>
      <x:c r="E517" s="11" t="str">
        <x:v>setbacks</x:v>
      </x:c>
      <x:c r="F517" s="11" t="str">
        <x:v>Schedule II Permissible Maximum Plot Coverage i. Residential – 65% ii. Nonresidential – 80% Setbacks &amp; Maximum height As per the form “E” in Schedule III Minimum land extent for subdivision 150 Sq.m. (6 Perches) Permissible uses As per the form “F” in Schedule IV &amp; “G” in Schedule V</x:v>
      </x:c>
      <x:c r="G517" s="11" t="str">
        <x:v>candidate_unreviewed</x:v>
      </x:c>
      <x:c r="H517" s="24" t="b">
        <x:v>0</x:v>
      </x:c>
      <x:c r="I517" s="11" t="str">
        <x:v>Keyword extraction only. Read page image and full context before promoting. English search cannot exclude Sinhala/Tamil or image-only content.</x:v>
      </x:c>
    </x:row>
    <x:row r="518" ht="238" customHeight="1">
      <x:c r="A518" s="8" t="str">
        <x:v>C00517</x:v>
      </x:c>
      <x:c r="B518" s="8" t="str">
        <x:v>SRC_0094</x:v>
      </x:c>
      <x:c r="C518" s="8" t="str">
        <x:v>Wellawaya_E_20240913.pdf</x:v>
      </x:c>
      <x:c r="D518" s="18" t="n">
        <x:v>292</x:v>
      </x:c>
      <x:c r="E518" s="8" t="str">
        <x:v>plot coverage</x:v>
      </x:c>
      <x:c r="F518" s="8" t="str">
        <x:v>zone. • The remaining land (35%) should be maintained as green cover in addition to the approved plot coverage from residential uses of the proposed land. • A landscape plan for all buildings above 400 square meters should be submitted with the building plan. • The approved use or existing uses of any building shall not be changed without the permission of the Urban Development Authority. • Installation of permanent name boards or advertisements boards shall be perpendicular to the street or not obstruct the exterior appearance of the building. When installing permanent name boards or advertisement boards, they should be installed at a height of 3.5 meters perpendicular to the ground and the maximum height of the advertisement board should</x:v>
      </x:c>
      <x:c r="G518" s="8" t="str">
        <x:v>candidate_unreviewed</x:v>
      </x:c>
      <x:c r="H518" s="21" t="b">
        <x:v>0</x:v>
      </x:c>
      <x:c r="I518" s="8" t="str">
        <x:v>Keyword extraction only. Read page image and full context before promoting. English search cannot exclude Sinhala/Tamil or image-only content.</x:v>
      </x:c>
    </x:row>
    <x:row r="519" ht="336" customHeight="1">
      <x:c r="A519" s="11" t="str">
        <x:v>C00518</x:v>
      </x:c>
      <x:c r="B519" s="11" t="str">
        <x:v>SRC_0094</x:v>
      </x:c>
      <x:c r="C519" s="11" t="str">
        <x:v>Wellawaya_E_20240913.pdf</x:v>
      </x:c>
      <x:c r="D519" s="22" t="n">
        <x:v>293</x:v>
      </x:c>
      <x:c r="E519" s="11" t="str">
        <x:v>plot coverage, setbacks</x:v>
      </x:c>
      <x:c r="F519" s="11" t="str">
        <x:v>edule II Permissible Maximum Plot Coverage i. Residential – 65% ii. Non - residential – 70% Setbacks &amp; Maximum height As per the form “E” in Schedule III Minimum land extent for subdivision 150 Sq.m. (6 Perches) Permissible uses As per the form “F” in Schedule IV &amp; “G” in Schedule V Common zoning regulations • Green concept should be followed for all buildings in this zone. • The remaining land (residential- 35%, Non-residential – 30%) should be maintained as green cover in addition to the approved plot coverage from residential and non-residential uses of the proposed land. • A landscape plan for all buildings above 400 square meters should be submitted with the building plan. • No more than 200 square meters are allowed || ntial- 35%, Non-residential – 30%) should be maintained as green cover in addition to the approved plot coverage from residential and non-residential uses of the proposed land. • A landscape plan for all buildings above 400 square meters should be submitted with the building plan. • No more than 200 square meters are allowed for residential use and home stay in this zone.</x:v>
      </x:c>
      <x:c r="G519" s="11" t="str">
        <x:v>candidate_unreviewed</x:v>
      </x:c>
      <x:c r="H519" s="24" t="b">
        <x:v>0</x:v>
      </x:c>
      <x:c r="I519" s="11" t="str">
        <x:v>Keyword extraction only. Read page image and full context before promoting. English search cannot exclude Sinhala/Tamil or image-only content.</x:v>
      </x:c>
    </x:row>
    <x:row r="520" ht="98" customHeight="1">
      <x:c r="A520" s="8" t="str">
        <x:v>C00519</x:v>
      </x:c>
      <x:c r="B520" s="8" t="str">
        <x:v>SRC_0094</x:v>
      </x:c>
      <x:c r="C520" s="8" t="str">
        <x:v>Wellawaya_E_20240913.pdf</x:v>
      </x:c>
      <x:c r="D520" s="18" t="n">
        <x:v>294</x:v>
      </x:c>
      <x:c r="E520" s="8" t="str">
        <x:v>setbacks</x:v>
      </x:c>
      <x:c r="F520" s="8" t="str">
        <x:v>As per the form “A” in Schedule I &amp; “B” in Schedule II Permissible Maximum Plot Coverage 60% Setbacks &amp; Maximum height As per the form “E” in Schedule III Minimum land extent for subdivision 1000 Sq.m. (40 Perches) Permissible uses As per the form “F” in Schedule IV &amp; “G” in Schedule V</x:v>
      </x:c>
      <x:c r="G520" s="8" t="str">
        <x:v>candidate_unreviewed</x:v>
      </x:c>
      <x:c r="H520" s="21" t="b">
        <x:v>0</x:v>
      </x:c>
      <x:c r="I520" s="8" t="str">
        <x:v>Keyword extraction only. Read page image and full context before promoting. English search cannot exclude Sinhala/Tamil or image-only content.</x:v>
      </x:c>
    </x:row>
    <x:row r="521" ht="84" customHeight="1">
      <x:c r="A521" s="11" t="str">
        <x:v>C00520</x:v>
      </x:c>
      <x:c r="B521" s="11" t="str">
        <x:v>SRC_0094</x:v>
      </x:c>
      <x:c r="C521" s="11" t="str">
        <x:v>Wellawaya_E_20240913.pdf</x:v>
      </x:c>
      <x:c r="D521" s="22" t="n">
        <x:v>296</x:v>
      </x:c>
      <x:c r="E521" s="11" t="str">
        <x:v>setbacks</x:v>
      </x:c>
      <x:c r="F521" s="11" t="str">
        <x:v>ule II Permissible Maximum Plot Coverage i. Residential – 65% ii. Non - residential – 70% Setbacks &amp; Maximum As per the form “E” in Schedule III Source : UVA Provincial offfice, Urban Development Authority, 2022.</x:v>
      </x:c>
      <x:c r="G521" s="11" t="str">
        <x:v>candidate_unreviewed</x:v>
      </x:c>
      <x:c r="H521" s="24" t="b">
        <x:v>0</x:v>
      </x:c>
      <x:c r="I521" s="11" t="str">
        <x:v>Keyword extraction only. Read page image and full context before promoting. English search cannot exclude Sinhala/Tamil or image-only content.</x:v>
      </x:c>
    </x:row>
    <x:row r="522" ht="224" customHeight="1">
      <x:c r="A522" s="8" t="str">
        <x:v>C00521</x:v>
      </x:c>
      <x:c r="B522" s="8" t="str">
        <x:v>SRC_0094</x:v>
      </x:c>
      <x:c r="C522" s="8" t="str">
        <x:v>Wellawaya_E_20240913.pdf</x:v>
      </x:c>
      <x:c r="D522" s="18" t="n">
        <x:v>297</x:v>
      </x:c>
      <x:c r="E522" s="8" t="str">
        <x:v>minimum width</x:v>
      </x:c>
      <x:c r="F522" s="8" t="str">
        <x:v>allowed for only high land. • The building should be constructed with a roof of this zone. • The minimum width of the road should be 09 meters for the industries. Source : UVA Provincial offfice, Urban Development Authority, 2022. 8.7. Tourism Promotion Zone 8.7.1. Rules and Guidelines TOble No. 8.6. Reles Ond Getdeltnes eot tne Toettsm ktomotton Zone Description Specifications Definition of zones The aim of this region is to protect the existing natural ecosystem and promote the eco and adventure tourism industry. It is also expected to provide low density residential facilities related to the tourism industry. Zoning Boundaries Annexure I Zone Code T 2 Development Zone Tourism Promotion Zone Zone Factor 0.50 Permi</x:v>
      </x:c>
      <x:c r="G522" s="8" t="str">
        <x:v>candidate_unreviewed</x:v>
      </x:c>
      <x:c r="H522" s="21" t="b">
        <x:v>0</x:v>
      </x:c>
      <x:c r="I522" s="8" t="str">
        <x:v>Keyword extraction only. Read page image and full context before promoting. English search cannot exclude Sinhala/Tamil or image-only content.</x:v>
      </x:c>
    </x:row>
    <x:row r="523" ht="224" customHeight="1">
      <x:c r="A523" s="11" t="str">
        <x:v>C00522</x:v>
      </x:c>
      <x:c r="B523" s="11" t="str">
        <x:v>SRC_0094</x:v>
      </x:c>
      <x:c r="C523" s="11" t="str">
        <x:v>Wellawaya_E_20240913.pdf</x:v>
      </x:c>
      <x:c r="D523" s="22" t="n">
        <x:v>298</x:v>
      </x:c>
      <x:c r="E523" s="11" t="str">
        <x:v>setbacks</x:v>
      </x:c>
      <x:c r="F523" s="11" t="str">
        <x:v>Wellawaya Development Plan 2023 - 2033 Page | 297 ii. Nonresidential – 70% Setbacks &amp; Maximum height As per the form “E” in Schedule III Minimum land extent for subdivision 200 Sq.m. (08 Perches) Permissible uses As per the form “F” in Schedule IV &amp; “G” in Schedule V Common zoning regulations • Embankments and boundary walls can be constructed subject to the approval of the relevant institutions for areas prone to landslides or natural disasters. • Development of infrastructure facilities are allowed. • Construction of river protection embankments are permitted. • Developments such as elephant fences, trenches and drains are permitted for the management of wild elephants. • Maintain and proceed the exist</x:v>
      </x:c>
      <x:c r="G523" s="11" t="str">
        <x:v>candidate_unreviewed</x:v>
      </x:c>
      <x:c r="H523" s="24" t="b">
        <x:v>0</x:v>
      </x:c>
      <x:c r="I523" s="11" t="str">
        <x:v>Keyword extraction only. Read page image and full context before promoting. English search cannot exclude Sinhala/Tamil or image-only content.</x:v>
      </x:c>
    </x:row>
    <x:row r="524" ht="168" customHeight="1">
      <x:c r="A524" s="8" t="str">
        <x:v>C00523</x:v>
      </x:c>
      <x:c r="B524" s="8" t="str">
        <x:v>SRC_0094</x:v>
      </x:c>
      <x:c r="C524" s="8" t="str">
        <x:v>Wellawaya_E_20240913.pdf</x:v>
      </x:c>
      <x:c r="D524" s="18" t="n">
        <x:v>299</x:v>
      </x:c>
      <x:c r="E524" s="8" t="str">
        <x:v>setbacks</x:v>
      </x:c>
      <x:c r="F524" s="8" t="str">
        <x:v>rmissible Maximum Floor Area Rato/ Number of floors - Permissible Maximum Plot Coverage - Setbacks &amp; Maximum height - Minimum land extent for subdivision - Permissible uses - Common zoning regulations • New constructions are not permitted. • Renovation of existing buildings are permitted in the same manner. • Outdoor leisure and recreational activities are permitted. (Walking lanes/ linear parks/ boat jetties/ ferry shelters/ safe bathing jetties/ mobile food stalls). • Maintain and proceed the existing licensed sand wharves and mineral</x:v>
      </x:c>
      <x:c r="G524" s="8" t="str">
        <x:v>candidate_unreviewed</x:v>
      </x:c>
      <x:c r="H524" s="21" t="b">
        <x:v>0</x:v>
      </x:c>
      <x:c r="I524" s="8" t="str">
        <x:v>Keyword extraction only. Read page image and full context before promoting. English search cannot exclude Sinhala/Tamil or image-only content.</x:v>
      </x:c>
    </x:row>
    <x:row r="525" ht="182" customHeight="1">
      <x:c r="A525" s="11" t="str">
        <x:v>C00524</x:v>
      </x:c>
      <x:c r="B525" s="11" t="str">
        <x:v>SRC_0094</x:v>
      </x:c>
      <x:c r="C525" s="11" t="str">
        <x:v>Wellawaya_E_20240913.pdf</x:v>
      </x:c>
      <x:c r="D525" s="22" t="n">
        <x:v>310</x:v>
      </x:c>
      <x:c r="E525" s="11" t="str">
        <x:v>minimum width</x:v>
      </x:c>
      <x:c r="F525" s="11" t="str">
        <x:v>on for 3rd Class “A” grade roads Source : Road Development Authority, 2023 The minimum width of all Local Authority roads should be 06 meters except the proposed 2nd class “ A” grade roads and 3rd class “A” grade roads. Road Heirachy Road Existing road width (m) Proosed road width (m) 3rd Class Road A Grade Yalabowa - Malwattawala Road 6 14 m. (2 lanes / with service road) Vehicle Lanes - 7 m. Pavements, landscaping and drains - 7 m. Buduruvagala Road 6 Balaharuwa Road 6 Hadapanagala road 6 Wevel Kandura - Kosgahawela Road 4 Manelgama Road 6 new Road 6 Aluthwela Road 6</x:v>
      </x:c>
      <x:c r="G525" s="11" t="str">
        <x:v>candidate_unreviewed</x:v>
      </x:c>
      <x:c r="H525" s="24" t="b">
        <x:v>0</x:v>
      </x:c>
      <x:c r="I525" s="11" t="str">
        <x:v>Keyword extraction only. Read page image and full context before promoting. English search cannot exclude Sinhala/Tamil or image-only content.</x:v>
      </x:c>
    </x:row>
    <x:row r="526" ht="126" customHeight="1">
      <x:c r="A526" s="8" t="str">
        <x:v>C00525</x:v>
      </x:c>
      <x:c r="B526" s="8" t="str">
        <x:v>SRC_0098</x:v>
      </x:c>
      <x:c r="C526" s="8" t="str">
        <x:v>beira_lake-English.pdf</x:v>
      </x:c>
      <x:c r="D526" s="18" t="n">
        <x:v>73</x:v>
      </x:c>
      <x:c r="E526" s="8" t="str">
        <x:v>plot coverage, setbacks</x:v>
      </x:c>
      <x:c r="F526" s="8" t="str">
        <x:v>ine General Regulations Parking Sewerage Disposal Green Buildings Existing Lots Special Guidelines Plot Coverage Setbacks Prominence Use Urban Design Guidelines Figure 21: Details of Site Layout || egulations Parking Sewerage Disposal Green Buildings Existing Lots Special Guidelines Plot Coverage Setbacks Prominence Use Urban Design Guidelines Figure 21: Details of Site Layout</x:v>
      </x:c>
      <x:c r="G526" s="8" t="str">
        <x:v>candidate_unreviewed</x:v>
      </x:c>
      <x:c r="H526" s="21" t="b">
        <x:v>0</x:v>
      </x:c>
      <x:c r="I526" s="8" t="str">
        <x:v>Keyword extraction only. Read page image and full context before promoting. English search cannot exclude Sinhala/Tamil or image-only content.</x:v>
      </x:c>
    </x:row>
    <x:row r="527" ht="56" customHeight="1">
      <x:c r="A527" s="11" t="str">
        <x:v>C00526</x:v>
      </x:c>
      <x:c r="B527" s="11" t="str">
        <x:v>SRC_0098</x:v>
      </x:c>
      <x:c r="C527" s="11" t="str">
        <x:v>beira_lake-English.pdf</x:v>
      </x:c>
      <x:c r="D527" s="22" t="n">
        <x:v>77</x:v>
      </x:c>
      <x:c r="E527" s="11" t="str">
        <x:v>setback</x:v>
      </x:c>
      <x:c r="F527" s="11" t="str">
        <x:v>nnect the main roads and Beira Lake Linear Park • Open up visual corridors • Maintain 14m width setback from the lake edge</x:v>
      </x:c>
      <x:c r="G527" s="11" t="str">
        <x:v>candidate_unreviewed</x:v>
      </x:c>
      <x:c r="H527" s="24" t="b">
        <x:v>0</x:v>
      </x:c>
      <x:c r="I527" s="11" t="str">
        <x:v>Keyword extraction only. Read page image and full context before promoting. English search cannot exclude Sinhala/Tamil or image-only content.</x:v>
      </x:c>
    </x:row>
    <x:row r="528" ht="266" customHeight="1">
      <x:c r="A528" s="8" t="str">
        <x:v>C00527</x:v>
      </x:c>
      <x:c r="B528" s="8" t="str">
        <x:v>SRC_0098</x:v>
      </x:c>
      <x:c r="C528" s="8" t="str">
        <x:v>beira_lake-English.pdf</x:v>
      </x:c>
      <x:c r="D528" s="18" t="n">
        <x:v>81</x:v>
      </x:c>
      <x:c r="E528" s="8" t="str">
        <x:v>plot coverage, setbacks</x:v>
      </x:c>
      <x:c r="F528" s="8" t="str">
        <x:v>cluded in section 06. In further section 06 includes the common guidelines on Height, Land Extent, Setbacks, Boundary Walls, Screening and signage. 4.5.3. Special Guidelines The guidelines and regulations lot by lot re- lated to the Plot Coverage, Setbacks, permis- sible uses and other urban design aspects are described in section 06 in detail. Figure 29 : Building Heights Map || nd signage. 4.5.3. Special Guidelines The guidelines and regulations lot by lot re- lated to the Plot Coverage, Setbacks, permis- sible uses and other urban design aspects are described in section 06 in detail. Figure 29 : Building Heights Map || 5.3. Special Guidelines The guidelines and regulations lot by lot re- lated to the Plot Coverage, Setbacks, permis- sible uses and other urban design aspects are described in section 06 in detail. Figure 29 : Building Heights Map</x:v>
      </x:c>
      <x:c r="G528" s="8" t="str">
        <x:v>candidate_unreviewed</x:v>
      </x:c>
      <x:c r="H528" s="21" t="b">
        <x:v>0</x:v>
      </x:c>
      <x:c r="I528" s="8" t="str">
        <x:v>Keyword extraction only. Read page image and full context before promoting. English search cannot exclude Sinhala/Tamil or image-only content.</x:v>
      </x:c>
    </x:row>
    <x:row r="529" ht="434" customHeight="1">
      <x:c r="A529" s="11" t="str">
        <x:v>C00528</x:v>
      </x:c>
      <x:c r="B529" s="11" t="str">
        <x:v>SRC_0098</x:v>
      </x:c>
      <x:c r="C529" s="11" t="str">
        <x:v>beira_lake-English.pdf</x:v>
      </x:c>
      <x:c r="D529" s="22" t="n">
        <x:v>84</x:v>
      </x:c>
      <x:c r="E529" s="11" t="str">
        <x:v>setback</x:v>
      </x:c>
      <x:c r="F529" s="11" t="str">
        <x:v>and only amendments for existing buildings and new buildings for facilities shall be permitted 4m Setback • 50% of the area within 4m setback should be maintained with permeable surfaces, Soft landscaping is encouraged. Structures connected to the main structure are not allowed. • Outdoor restaurants, Open swimming pools and allied services, Open play areas, Outdoor theaters, Garden &amp; Soft Landscape Features are recommended • 10m development free set back form lake edge should be maintained. • 6m side space shall be maintained for the building • The Building line specified for the access road shall be maintained. • 1m set back shall be maintained from the road edge for the developments along D.R.Wijewardhana Mawatha Lake Re || ings and new buildings for facilities shall be permitted 4m Setback • 50% of the area within 4m setback should be maintained with permeable surfaces, Soft landscaping is encouraged. Structures connected to the main structure are not allowed. • Outdoor restaurants, Open swimming pools and allied services, Open play areas, Outdoor theaters, Garden &amp; Soft Landscape Features are recommended • 10m development free set back form lake edge should be maintained. • 6m side space shall be maintained for the building • The Building line specified for the access road shall be maintained. • 1m set back shall be maintained from the road edge for the developments along D.R.Wijewardhana Mawatha Lake Reservation 6m (Linear Park) Uses suc</x:v>
      </x:c>
      <x:c r="G529" s="11" t="str">
        <x:v>candidate_unreviewed</x:v>
      </x:c>
      <x:c r="H529" s="24" t="b">
        <x:v>0</x:v>
      </x:c>
      <x:c r="I529" s="11" t="str">
        <x:v>Keyword extraction only. Read page image and full context before promoting. English search cannot exclude Sinhala/Tamil or image-only content.</x:v>
      </x:c>
    </x:row>
    <x:row r="530" ht="616" customHeight="1">
      <x:c r="A530" s="8" t="str">
        <x:v>C00529</x:v>
      </x:c>
      <x:c r="B530" s="8" t="str">
        <x:v>SRC_0098</x:v>
      </x:c>
      <x:c r="C530" s="8" t="str">
        <x:v>beira_lake-English.pdf</x:v>
      </x:c>
      <x:c r="D530" s="18" t="n">
        <x:v>88</x:v>
      </x:c>
      <x:c r="E530" s="8" t="str">
        <x:v>plot coverage, setback, setbacks</x:v>
      </x:c>
      <x:c r="F530" s="8" t="str">
        <x:v>ined as it is (9000sqm) Permissible Height (m) As per the City of Colombo Development Plan Maximum Plot Coverage (%) Podium 65% Tower 50% Minimum Setbacks (m) Building Line Width 24m – D.R.Wijewardhana Mawatha (12m from center) 36m – Sir Chittampalam A Gardnier Mawatha (18m from center) Rear Space 10m from Lake Edge (Including 6m Linear Park) Side Space 6m both side Special Guidelines • 1m setback from building line edge of the D.R. Wijewardhana Mawatha for plantations. • The building should be iconic and harmonies with the surrounding environment. • Proposed development should not obstruct the Lake view from junction. • Two towers recommended. • The Podium Level should not higher than the road level (Podium should not obstruct the lake || As per the City of Colombo Development Plan Maximum Plot Coverage (%) Podium 65% Tower 50% Minimum Setbacks (m) Building Line Width 24m – D.R.Wijewardhana Mawatha (12m from center) 36m – Sir Chittampalam A Gardnier Mawatha (18m from center) Rear Space 10m from Lake Edge (Including 6m Linear Park) Side Space 6m both side Special Guidelines • 1m setback from building line edge of the D.R. Wijewardhana Mawatha for plantations. • The building should be iconic and harmonies with the surrounding environment. • Proposed development should not obstruct the Lake view from junction. • Two towers recommended. • The Podium Level should not higher than the road level (Podium should not obstruct the lake view) • A 20m wide visual corridor should || pace 10m from Lake Edge (Including 6m Linear Park) Side Space 6m both side Special Guidelines • 1m setback from building line edge of the D.R. Wijewardhana Mawatha for plantations. • The building should be iconic and harmonies with the surrounding environment. • Proposed development should not obstruct the Lake view from junction. • Two towers recommended. • The Podium Level should not higher than the road level (Podium should not obstruct the lake view) • A 20m wide visual corridor should be maintained at the road level of D. R. Wijewardhana Mawatha Site Layout (Conceptual &amp; Not to Scale Site Reference Number – 001</x:v>
      </x:c>
      <x:c r="G530" s="8" t="str">
        <x:v>candidate_unreviewed</x:v>
      </x:c>
      <x:c r="H530" s="21" t="b">
        <x:v>0</x:v>
      </x:c>
      <x:c r="I530" s="8" t="str">
        <x:v>Keyword extraction only. Read page image and full context before promoting. English search cannot exclude Sinhala/Tamil or image-only content.</x:v>
      </x:c>
    </x:row>
    <x:row r="531" ht="350" customHeight="1">
      <x:c r="A531" s="11" t="str">
        <x:v>C00530</x:v>
      </x:c>
      <x:c r="B531" s="11" t="str">
        <x:v>SRC_0098</x:v>
      </x:c>
      <x:c r="C531" s="11" t="str">
        <x:v>beira_lake-English.pdf</x:v>
      </x:c>
      <x:c r="D531" s="22" t="n">
        <x:v>89</x:v>
      </x:c>
      <x:c r="E531" s="11" t="str">
        <x:v>plot coverage, setback, setbacks</x:v>
      </x:c>
      <x:c r="F531" s="11" t="str">
        <x:v>Activities Minimum Site Extent for Subdivision (Sq.m.) 1500sqm Permissible Height (m) 10m Maximum Plot Coverage (%) 10% Minimum Setbacks (m) Building Line Width 24m – D.R.Wijewardhana Mawatha (12m from center) Rear Space 10m from Lake Edge (Including 6m Linear Park) Side Space 6m both side Special Guidelines • 1m setback from building line edge of the D.R. Wijewardhana Mawatha for plantations. • Should be maintained as a public open space Site Reference Number – 002 || for Subdivision (Sq.m.) 1500sqm Permissible Height (m) 10m Maximum Plot Coverage (%) 10% Minimum Setbacks (m) Building Line Width 24m – D.R.Wijewardhana Mawatha (12m from center) Rear Space 10m from Lake Edge (Including 6m Linear Park) Side Space 6m both side Special Guidelines • 1m setback from building line edge of the D.R. Wijewardhana Mawatha for plantations. • Should be maintained as a public open space Site Reference Number – 002 || pace 10m from Lake Edge (Including 6m Linear Park) Side Space 6m both side Special Guidelines • 1m setback from building line edge of the D.R. Wijewardhana Mawatha for plantations. • Should be maintained as a public open space Site Reference Number – 002</x:v>
      </x:c>
      <x:c r="G531" s="11" t="str">
        <x:v>candidate_unreviewed</x:v>
      </x:c>
      <x:c r="H531" s="24" t="b">
        <x:v>0</x:v>
      </x:c>
      <x:c r="I531" s="11" t="str">
        <x:v>Keyword extraction only. Read page image and full context before promoting. English search cannot exclude Sinhala/Tamil or image-only content.</x:v>
      </x:c>
    </x:row>
    <x:row r="532" ht="406" customHeight="1">
      <x:c r="A532" s="8" t="str">
        <x:v>C00531</x:v>
      </x:c>
      <x:c r="B532" s="8" t="str">
        <x:v>SRC_0098</x:v>
      </x:c>
      <x:c r="C532" s="8" t="str">
        <x:v>beira_lake-English.pdf</x:v>
      </x:c>
      <x:c r="D532" s="18" t="n">
        <x:v>90</x:v>
      </x:c>
      <x:c r="E532" s="8" t="str">
        <x:v>plot coverage, setback, setbacks</x:v>
      </x:c>
      <x:c r="F532" s="8" t="str">
        <x:v>ivision (Sq.m.) 1500sqm Permissible Height (m)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 The existing historical Entrances should be conserved as per UDA and Archeological Department guidelines. Site Reference Number – 003 ||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 The existing historical Entrances should be conserved as per UDA and Archeological Department guidelines. Site Reference Number – 003 || pace 10m from Lake Edge (Including 6m Linear Park) Side Space 6m both side Special Guidelines • 1m setback from building line edge of the D.R. Wijewardhana Mawatha for plantations. • The existing historical Entrances should be conserved as per UDA and Archeological Department guidelines. Site Reference Number – 003</x:v>
      </x:c>
      <x:c r="G532" s="8" t="str">
        <x:v>candidate_unreviewed</x:v>
      </x:c>
      <x:c r="H532" s="21" t="b">
        <x:v>0</x:v>
      </x:c>
      <x:c r="I532" s="8" t="str">
        <x:v>Keyword extraction only. Read page image and full context before promoting. English search cannot exclude Sinhala/Tamil or image-only content.</x:v>
      </x:c>
    </x:row>
    <x:row r="533" ht="462" customHeight="1">
      <x:c r="A533" s="11" t="str">
        <x:v>C00532</x:v>
      </x:c>
      <x:c r="B533" s="11" t="str">
        <x:v>SRC_0098</x:v>
      </x:c>
      <x:c r="C533" s="11" t="str">
        <x:v>beira_lake-English.pdf</x:v>
      </x:c>
      <x:c r="D533" s="22" t="n">
        <x:v>91</x:v>
      </x:c>
      <x:c r="E533" s="11" t="str">
        <x:v>plot coverage, setback, setbacks</x:v>
      </x:c>
      <x:c r="F533" s="11" t="str">
        <x:v>ivision (Sq.m.) 1500sqm Permissible Height (m)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 Appearance of the ground floor façade of the existing historical build- ings should be conserved according to the UDA and the Archeological Department guidelines. Site Reference Number – 004 ||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 Appearance of the ground floor façade of the existing historical build- ings should be conserved according to the UDA and the Archeological Department guidelines. Site Reference Number – 004 || pace 10m from Lake Edge (Including 6m Linear Park) Side Space 6m both side Special Guidelines • 1m setback from building line edge of the D.R. Wijewardhana Mawatha for plantations. • Appearance of the ground floor façade of the existing historical build- ings should be conserved according to the UDA and the Archeological Department guidelines. Site Reference Number – 004</x:v>
      </x:c>
      <x:c r="G533" s="11" t="str">
        <x:v>candidate_unreviewed</x:v>
      </x:c>
      <x:c r="H533" s="24" t="b">
        <x:v>0</x:v>
      </x:c>
      <x:c r="I533" s="11" t="str">
        <x:v>Keyword extraction only. Read page image and full context before promoting. English search cannot exclude Sinhala/Tamil or image-only content.</x:v>
      </x:c>
    </x:row>
    <x:row r="534" ht="322" customHeight="1">
      <x:c r="A534" s="8" t="str">
        <x:v>C00533</x:v>
      </x:c>
      <x:c r="B534" s="8" t="str">
        <x:v>SRC_0098</x:v>
      </x:c>
      <x:c r="C534" s="8" t="str">
        <x:v>beira_lake-English.pdf</x:v>
      </x:c>
      <x:c r="D534" s="18" t="n">
        <x:v>92</x:v>
      </x:c>
      <x:c r="E534" s="8" t="str">
        <x:v>plot coverage, setback, setbacks</x:v>
      </x:c>
      <x:c r="F534" s="8" t="str">
        <x:v>ivision (Sq.m.) 1500sqm Permissible Height (m)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Site Reference Number – 005 ||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Site Reference Number – 005 || pace 10m from Lake Edge (Including 6m Linear Park) Side Space 6m both side Special Guidelines • 1m setback from building line edge of the D.R. Wijewardhana Mawatha for plantations. Site Reference Number – 005</x:v>
      </x:c>
      <x:c r="G534" s="8" t="str">
        <x:v>candidate_unreviewed</x:v>
      </x:c>
      <x:c r="H534" s="21" t="b">
        <x:v>0</x:v>
      </x:c>
      <x:c r="I534" s="8" t="str">
        <x:v>Keyword extraction only. Read page image and full context before promoting. English search cannot exclude Sinhala/Tamil or image-only content.</x:v>
      </x:c>
    </x:row>
    <x:row r="535" ht="322" customHeight="1">
      <x:c r="A535" s="11" t="str">
        <x:v>C00534</x:v>
      </x:c>
      <x:c r="B535" s="11" t="str">
        <x:v>SRC_0098</x:v>
      </x:c>
      <x:c r="C535" s="11" t="str">
        <x:v>beira_lake-English.pdf</x:v>
      </x:c>
      <x:c r="D535" s="22" t="n">
        <x:v>93</x:v>
      </x:c>
      <x:c r="E535" s="11" t="str">
        <x:v>plot coverage, setback, setbacks</x:v>
      </x:c>
      <x:c r="F535" s="11" t="str">
        <x:v>ivision (Sq.m.) 1500sqm Permissible Height (m)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Site Reference Number – 006 ||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Site Reference Number – 006 || pace 10m from Lake Edge (Including 6m Linear Park) Side Space 6m both side Special Guidelines • 1m setback from building line edge of the D.R. Wijewardhana Mawatha for plantations. Site Reference Number – 006</x:v>
      </x:c>
      <x:c r="G535" s="11" t="str">
        <x:v>candidate_unreviewed</x:v>
      </x:c>
      <x:c r="H535" s="24" t="b">
        <x:v>0</x:v>
      </x:c>
      <x:c r="I535" s="11" t="str">
        <x:v>Keyword extraction only. Read page image and full context before promoting. English search cannot exclude Sinhala/Tamil or image-only content.</x:v>
      </x:c>
    </x:row>
    <x:row r="536" ht="322" customHeight="1">
      <x:c r="A536" s="8" t="str">
        <x:v>C00535</x:v>
      </x:c>
      <x:c r="B536" s="8" t="str">
        <x:v>SRC_0098</x:v>
      </x:c>
      <x:c r="C536" s="8" t="str">
        <x:v>beira_lake-English.pdf</x:v>
      </x:c>
      <x:c r="D536" s="18" t="n">
        <x:v>94</x:v>
      </x:c>
      <x:c r="E536" s="8" t="str">
        <x:v>plot coverage, setback, setbacks</x:v>
      </x:c>
      <x:c r="F536" s="8" t="str">
        <x:v>ivision (Sq.m.) 1500sqm Permissible Height (m)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Site Reference Number – 007 ||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Site Reference Number – 007 || pace 10m from Lake Edge (Including 6m Linear Park) Side Space 6m both side Special Guidelines • 1m setback from building line edge of the D.R. Wijewardhana Mawatha for plantations. Site Reference Number – 007</x:v>
      </x:c>
      <x:c r="G536" s="8" t="str">
        <x:v>candidate_unreviewed</x:v>
      </x:c>
      <x:c r="H536" s="21" t="b">
        <x:v>0</x:v>
      </x:c>
      <x:c r="I536" s="8" t="str">
        <x:v>Keyword extraction only. Read page image and full context before promoting. English search cannot exclude Sinhala/Tamil or image-only content.</x:v>
      </x:c>
    </x:row>
    <x:row r="537" ht="350" customHeight="1">
      <x:c r="A537" s="11" t="str">
        <x:v>C00536</x:v>
      </x:c>
      <x:c r="B537" s="11" t="str">
        <x:v>SRC_0098</x:v>
      </x:c>
      <x:c r="C537" s="11" t="str">
        <x:v>beira_lake-English.pdf</x:v>
      </x:c>
      <x:c r="D537" s="22" t="n">
        <x:v>95</x:v>
      </x:c>
      <x:c r="E537" s="11" t="str">
        <x:v>plot coverage, setback, setbacks</x:v>
      </x:c>
      <x:c r="F537" s="11" t="str">
        <x:v>be maintained as it is Permissible Height (m) As per the City of Colombo Development Plan Maximum Plot Coverage (%) Podium 65% Tower 50% Minimum Setbacks (m) Building Line Width 24m – D. R. Wijewardhana Mawatha (12m from center) Rear Space 10m from Lake Edge (Including 6m Linear Park) Side Space As per the requirements in City of Colombo Development Plan Special Guidelines • 1m setback from building line edge of the D.R. Wijewardhana Mawatha for plantations. Site Reference Number – 008 || As per the City of Colombo Development Plan Maximum Plot Coverage (%) Podium 65% Tower 50% Minimum Setbacks (m) Building Line Width 24m – D. R. Wijewardhana Mawatha (12m from center) Rear Space 10m from Lake Edge (Including 6m Linear Park) Side Space As per the requirements in City of Colombo Development Plan Special Guidelines • 1m setback from building line edge of the D.R. Wijewardhana Mawatha for plantations. Site Reference Number – 008 || Side Space As per the requirements in City of Colombo Development Plan Special Guidelines • 1m setback from building line edge of the D.R. Wijewardhana Mawatha for plantations. Site Reference Number – 008</x:v>
      </x:c>
      <x:c r="G537" s="11" t="str">
        <x:v>candidate_unreviewed</x:v>
      </x:c>
      <x:c r="H537" s="24" t="b">
        <x:v>0</x:v>
      </x:c>
      <x:c r="I537" s="11" t="str">
        <x:v>Keyword extraction only. Read page image and full context before promoting. English search cannot exclude Sinhala/Tamil or image-only content.</x:v>
      </x:c>
    </x:row>
    <x:row r="538" ht="322" customHeight="1">
      <x:c r="A538" s="8" t="str">
        <x:v>C00537</x:v>
      </x:c>
      <x:c r="B538" s="8" t="str">
        <x:v>SRC_0098</x:v>
      </x:c>
      <x:c r="C538" s="8" t="str">
        <x:v>beira_lake-English.pdf</x:v>
      </x:c>
      <x:c r="D538" s="18" t="n">
        <x:v>96</x:v>
      </x:c>
      <x:c r="E538" s="8" t="str">
        <x:v>plot coverage, setback, setbacks</x:v>
      </x:c>
      <x:c r="F538" s="8" t="str">
        <x:v>ivision (Sq.m.) 1500sqm Permissible Height (m)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Site Reference Number – 009 ||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Site Reference Number – 009 || pace 10m from Lake Edge (Including 6m Linear Park) Side Space 6m both side Special Guidelines • 1m setback from building line edge of the D.R. Wijewardhana Mawatha for plantations. Site Reference Number – 009</x:v>
      </x:c>
      <x:c r="G538" s="8" t="str">
        <x:v>candidate_unreviewed</x:v>
      </x:c>
      <x:c r="H538" s="21" t="b">
        <x:v>0</x:v>
      </x:c>
      <x:c r="I538" s="8" t="str">
        <x:v>Keyword extraction only. Read page image and full context before promoting. English search cannot exclude Sinhala/Tamil or image-only content.</x:v>
      </x:c>
    </x:row>
    <x:row r="539" ht="378" customHeight="1">
      <x:c r="A539" s="11" t="str">
        <x:v>C00538</x:v>
      </x:c>
      <x:c r="B539" s="11" t="str">
        <x:v>SRC_0098</x:v>
      </x:c>
      <x:c r="C539" s="11" t="str">
        <x:v>beira_lake-English.pdf</x:v>
      </x:c>
      <x:c r="D539" s="22" t="n">
        <x:v>97</x:v>
      </x:c>
      <x:c r="E539" s="11" t="str">
        <x:v>plot coverage, setback, setbacks</x:v>
      </x:c>
      <x:c r="F539" s="11" t="str">
        <x:v>ivision (Sq.m.) 1500sqm Permissible Height (m) As per the City of Colombo Development Plan Maximum Plot Coverage (%) Podium 65% Tower 50% Minimum Setbacks (m) Building Line Width 24m – D. R. Wijewardhana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010 || As per the City of Colombo Development Plan Maximum Plot Coverage (%) Podium 65% Tower 50% Minimum Setbacks (m) Building Line Width 24m – D. R. Wijewardhana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010 || 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010</x:v>
      </x:c>
      <x:c r="G539" s="11" t="str">
        <x:v>candidate_unreviewed</x:v>
      </x:c>
      <x:c r="H539" s="24" t="b">
        <x:v>0</x:v>
      </x:c>
      <x:c r="I539" s="11" t="str">
        <x:v>Keyword extraction only. Read page image and full context before promoting. English search cannot exclude Sinhala/Tamil or image-only content.</x:v>
      </x:c>
    </x:row>
    <x:row r="540" ht="378" customHeight="1">
      <x:c r="A540" s="8" t="str">
        <x:v>C00539</x:v>
      </x:c>
      <x:c r="B540" s="8" t="str">
        <x:v>SRC_0098</x:v>
      </x:c>
      <x:c r="C540" s="8" t="str">
        <x:v>beira_lake-English.pdf</x:v>
      </x:c>
      <x:c r="D540" s="18" t="n">
        <x:v>98</x:v>
      </x:c>
      <x:c r="E540" s="8" t="str">
        <x:v>plot coverage, setback, setbacks</x:v>
      </x:c>
      <x:c r="F540" s="8" t="str">
        <x:v>ivision (Sq.m.) 1500sqm Permissible Height (m) As per the City of Colombo Development Plan Maximum Plot Coverage (%) Podium 65% Tower 50% Minimum Setbacks (m) Building Line Width 24m – D. R. Wijewardhana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011 || As per the City of Colombo Development Plan Maximum Plot Coverage (%) Podium 65% Tower 50% Minimum Setbacks (m) Building Line Width 24m – D. R. Wijewardhana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011 || 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011</x:v>
      </x:c>
      <x:c r="G540" s="8" t="str">
        <x:v>candidate_unreviewed</x:v>
      </x:c>
      <x:c r="H540" s="21" t="b">
        <x:v>0</x:v>
      </x:c>
      <x:c r="I540" s="8" t="str">
        <x:v>Keyword extraction only. Read page image and full context before promoting. English search cannot exclude Sinhala/Tamil or image-only content.</x:v>
      </x:c>
    </x:row>
    <x:row r="541" ht="378" customHeight="1">
      <x:c r="A541" s="11" t="str">
        <x:v>C00540</x:v>
      </x:c>
      <x:c r="B541" s="11" t="str">
        <x:v>SRC_0098</x:v>
      </x:c>
      <x:c r="C541" s="11" t="str">
        <x:v>beira_lake-English.pdf</x:v>
      </x:c>
      <x:c r="D541" s="22" t="n">
        <x:v>99</x:v>
      </x:c>
      <x:c r="E541" s="11" t="str">
        <x:v>plot coverage, setback, setbacks</x:v>
      </x:c>
      <x:c r="F541" s="11" t="str">
        <x:v>ivision (Sq.m.) 1500sqm Permissible Height (m) As per the City of Colombo Development Plan Maximum Plot Coverage (%) Podium 65% Tower 50% Minimum Setbacks (m) Building Line Width 24m – D. R. Wijewardhana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012 || As per the City of Colombo Development Plan Maximum Plot Coverage (%) Podium 65% Tower 50% Minimum Setbacks (m) Building Line Width 24m – D. R. Wijewardhana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012 || 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012</x:v>
      </x:c>
      <x:c r="G541" s="11" t="str">
        <x:v>candidate_unreviewed</x:v>
      </x:c>
      <x:c r="H541" s="24" t="b">
        <x:v>0</x:v>
      </x:c>
      <x:c r="I541" s="11" t="str">
        <x:v>Keyword extraction only. Read page image and full context before promoting. English search cannot exclude Sinhala/Tamil or image-only content.</x:v>
      </x:c>
    </x:row>
    <x:row r="542" ht="378" customHeight="1">
      <x:c r="A542" s="8" t="str">
        <x:v>C00541</x:v>
      </x:c>
      <x:c r="B542" s="8" t="str">
        <x:v>SRC_0098</x:v>
      </x:c>
      <x:c r="C542" s="8" t="str">
        <x:v>beira_lake-English.pdf</x:v>
      </x:c>
      <x:c r="D542" s="18" t="n">
        <x:v>100</x:v>
      </x:c>
      <x:c r="E542" s="8" t="str">
        <x:v>plot coverage, setback, setbacks</x:v>
      </x:c>
      <x:c r="F542" s="8" t="str">
        <x:v>ivision (Sq.m.) 1500sqm Permissible Height (m) As per the City of Colombo Development Plan Maximum Plot Coverage (%) Podium 65% Tower 50% Minimum Setbacks (m) Building Line Width 24m – D. R. Wijewardhana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013 || As per the City of Colombo Development Plan Maximum Plot Coverage (%) Podium 65% Tower 50% Minimum Setbacks (m) Building Line Width 24m – D. R. Wijewardhana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013 || 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013</x:v>
      </x:c>
      <x:c r="G542" s="8" t="str">
        <x:v>candidate_unreviewed</x:v>
      </x:c>
      <x:c r="H542" s="21" t="b">
        <x:v>0</x:v>
      </x:c>
      <x:c r="I542" s="8" t="str">
        <x:v>Keyword extraction only. Read page image and full context before promoting. English search cannot exclude Sinhala/Tamil or image-only content.</x:v>
      </x:c>
    </x:row>
    <x:row r="543" ht="378" customHeight="1">
      <x:c r="A543" s="11" t="str">
        <x:v>C00542</x:v>
      </x:c>
      <x:c r="B543" s="11" t="str">
        <x:v>SRC_0098</x:v>
      </x:c>
      <x:c r="C543" s="11" t="str">
        <x:v>beira_lake-English.pdf</x:v>
      </x:c>
      <x:c r="D543" s="22" t="n">
        <x:v>101</x:v>
      </x:c>
      <x:c r="E543" s="11" t="str">
        <x:v>plot coverage, setback, setbacks</x:v>
      </x:c>
      <x:c r="F543" s="11" t="str">
        <x:v>ivision (Sq.m.) 1500sqm Permissible Height (m) As per the City of Colombo Development Plan Maximum Plot Coverage (%) Podium 65% Tower 50% Minimum Setbacks (m) Building Line Width 24m – D. R. Wijewardhana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014 || As per the City of Colombo Development Plan Maximum Plot Coverage (%) Podium 65% Tower 50% Minimum Setbacks (m) Building Line Width 24m – D. R. Wijewardhana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014 || 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014</x:v>
      </x:c>
      <x:c r="G543" s="11" t="str">
        <x:v>candidate_unreviewed</x:v>
      </x:c>
      <x:c r="H543" s="24" t="b">
        <x:v>0</x:v>
      </x:c>
      <x:c r="I543" s="11" t="str">
        <x:v>Keyword extraction only. Read page image and full context before promoting. English search cannot exclude Sinhala/Tamil or image-only content.</x:v>
      </x:c>
    </x:row>
    <x:row r="544" ht="364" customHeight="1">
      <x:c r="A544" s="8" t="str">
        <x:v>C00543</x:v>
      </x:c>
      <x:c r="B544" s="8" t="str">
        <x:v>SRC_0098</x:v>
      </x:c>
      <x:c r="C544" s="8" t="str">
        <x:v>beira_lake-English.pdf</x:v>
      </x:c>
      <x:c r="D544" s="18" t="n">
        <x:v>102</x:v>
      </x:c>
      <x:c r="E544" s="8" t="str">
        <x:v>plot coverage, setback, setbacks</x:v>
      </x:c>
      <x:c r="F544" s="8" t="str">
        <x:v>Activities Minimum Site Extent for Subdivision (Sq.m.) 1500sqm Permissible Height (m) 10m Maximum Plot Coverage (%) 10% Minimum Setbacks (m) Building Line Width 24m – D. R. Wijewardhana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015 || for Subdivision (Sq.m.) 1500sqm Permissible Height (m) 10m Maximum Plot Coverage (%) 10% Minimum Setbacks (m) Building Line Width 24m – D. R. Wijewardhana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015 || ewardhana Mawatha (12m from center) Rear Space 6m Side Space 6m both side Special Guidelines • 1m setback from building line edge of the D.R. Wijewardhana Mawatha for plantations. • Reservations for railway line to be maintained as per the guidelines of Railway Department. Site Reference Number – 015</x:v>
      </x:c>
      <x:c r="G544" s="8" t="str">
        <x:v>candidate_unreviewed</x:v>
      </x:c>
      <x:c r="H544" s="21" t="b">
        <x:v>0</x:v>
      </x:c>
      <x:c r="I544" s="8" t="str">
        <x:v>Keyword extraction only. Read page image and full context before promoting. English search cannot exclude Sinhala/Tamil or image-only content.</x:v>
      </x:c>
    </x:row>
    <x:row r="545" ht="322" customHeight="1">
      <x:c r="A545" s="11" t="str">
        <x:v>C00544</x:v>
      </x:c>
      <x:c r="B545" s="11" t="str">
        <x:v>SRC_0098</x:v>
      </x:c>
      <x:c r="C545" s="11" t="str">
        <x:v>beira_lake-English.pdf</x:v>
      </x:c>
      <x:c r="D545" s="22" t="n">
        <x:v>103</x:v>
      </x:c>
      <x:c r="E545" s="11" t="str">
        <x:v>plot coverage, setback, setbacks</x:v>
      </x:c>
      <x:c r="F545" s="11" t="str">
        <x:v>ivision (Sq.m.) 1500sqm Permissible Height (m)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Site Reference Number – 016 ||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Site Reference Number – 016 || pace 10m from Lake Edge (Including 6m Linear Park) Side Space 6m both side Special Guidelines • 1m setback from building line edge of the D.R. Wijewardhana Mawatha for plantations. Site Reference Number – 016</x:v>
      </x:c>
      <x:c r="G545" s="11" t="str">
        <x:v>candidate_unreviewed</x:v>
      </x:c>
      <x:c r="H545" s="24" t="b">
        <x:v>0</x:v>
      </x:c>
      <x:c r="I545" s="11" t="str">
        <x:v>Keyword extraction only. Read page image and full context before promoting. English search cannot exclude Sinhala/Tamil or image-only content.</x:v>
      </x:c>
    </x:row>
    <x:row r="546" ht="378" customHeight="1">
      <x:c r="A546" s="8" t="str">
        <x:v>C00545</x:v>
      </x:c>
      <x:c r="B546" s="8" t="str">
        <x:v>SRC_0098</x:v>
      </x:c>
      <x:c r="C546" s="8" t="str">
        <x:v>beira_lake-English.pdf</x:v>
      </x:c>
      <x:c r="D546" s="18" t="n">
        <x:v>104</x:v>
      </x:c>
      <x:c r="E546" s="8" t="str">
        <x:v>plot coverage, setback, setbacks</x:v>
      </x:c>
      <x:c r="F546" s="8" t="str">
        <x:v>ivision (Sq.m.) 1500sqm Permissible Height (m)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 Both lands should be amalgamated and developed as one entity. Site Reference Number – 017 || As per the City of Colombo Development Plan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 Both lands should be amalgamated and developed as one entity. Site Reference Number – 017 || pace 10m from Lake Edge (Including 6m Linear Park) Side Space 6m both side Special Guidelines • 1m setback from building line edge of the D.R. Wijewardhana Mawatha for plantations. • Both lands should be amalgamated and developed as one entity. Site Reference Number – 017</x:v>
      </x:c>
      <x:c r="G546" s="8" t="str">
        <x:v>candidate_unreviewed</x:v>
      </x:c>
      <x:c r="H546" s="21" t="b">
        <x:v>0</x:v>
      </x:c>
      <x:c r="I546" s="8" t="str">
        <x:v>Keyword extraction only. Read page image and full context before promoting. English search cannot exclude Sinhala/Tamil or image-only content.</x:v>
      </x:c>
    </x:row>
    <x:row r="547" ht="322" customHeight="1">
      <x:c r="A547" s="11" t="str">
        <x:v>C00546</x:v>
      </x:c>
      <x:c r="B547" s="11" t="str">
        <x:v>SRC_0098</x:v>
      </x:c>
      <x:c r="C547" s="11" t="str">
        <x:v>beira_lake-English.pdf</x:v>
      </x:c>
      <x:c r="D547" s="22" t="n">
        <x:v>105</x:v>
      </x:c>
      <x:c r="E547" s="11" t="str">
        <x:v>plot coverage, setback, setbacks</x:v>
      </x:c>
      <x:c r="F547" s="11" t="str">
        <x:v>titutions Minimum Site Extent for Subdivision (Sq.m.) 1500sqm Permissible Height (m) 200m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Site Reference Number – 018 || (Sq.m.) 1500sqm Permissible Height (m) 200m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Site Reference Number – 018 || pace 10m from Lake Edge (Including 6m Linear Park) Side Space 6m both side Special Guidelines • 1m setback from building line edge of the D.R. Wijewardhana Mawatha for plantations. Site Reference Number – 018</x:v>
      </x:c>
      <x:c r="G547" s="11" t="str">
        <x:v>candidate_unreviewed</x:v>
      </x:c>
      <x:c r="H547" s="24" t="b">
        <x:v>0</x:v>
      </x:c>
      <x:c r="I547" s="11" t="str">
        <x:v>Keyword extraction only. Read page image and full context before promoting. English search cannot exclude Sinhala/Tamil or image-only content.</x:v>
      </x:c>
    </x:row>
    <x:row r="548" ht="322" customHeight="1">
      <x:c r="A548" s="8" t="str">
        <x:v>C00547</x:v>
      </x:c>
      <x:c r="B548" s="8" t="str">
        <x:v>SRC_0098</x:v>
      </x:c>
      <x:c r="C548" s="8" t="str">
        <x:v>beira_lake-English.pdf</x:v>
      </x:c>
      <x:c r="D548" s="18" t="n">
        <x:v>106</x:v>
      </x:c>
      <x:c r="E548" s="8" t="str">
        <x:v>plot coverage, setback, setbacks</x:v>
      </x:c>
      <x:c r="F548" s="8" t="str">
        <x:v>titutions Minimum Site Extent for Subdivision (Sq.m.) 1500sqm Permissible Height (m) 200m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Site Reference Number – 019 || (Sq.m.) 1500sqm Permissible Height (m) 200m Maximum Plot Coverage (%) Podium 65% Tower 50% Minimum Setbacks (m) Building Line Width 24m – D. R. Wijewardhana Mawatha (12m from center) Rear Space 10m from Lake Edge (Including 6m Linear Park) Side Space 6m both side Special Guidelines • 1m setback from building line edge of the D.R. Wijewardhana Mawatha for plantations. Site Reference Number – 019 || pace 10m from Lake Edge (Including 6m Linear Park) Side Space 6m both side Special Guidelines • 1m setback from building line edge of the D.R. Wijewardhana Mawatha for plantations. Site Reference Number – 019</x:v>
      </x:c>
      <x:c r="G548" s="8" t="str">
        <x:v>candidate_unreviewed</x:v>
      </x:c>
      <x:c r="H548" s="21" t="b">
        <x:v>0</x:v>
      </x:c>
      <x:c r="I548" s="8" t="str">
        <x:v>Keyword extraction only. Read page image and full context before promoting. English search cannot exclude Sinhala/Tamil or image-only content.</x:v>
      </x:c>
    </x:row>
    <x:row r="549" ht="378" customHeight="1">
      <x:c r="A549" s="11" t="str">
        <x:v>C00548</x:v>
      </x:c>
      <x:c r="B549" s="11" t="str">
        <x:v>SRC_0098</x:v>
      </x:c>
      <x:c r="C549" s="11" t="str">
        <x:v>beira_lake-English.pdf</x:v>
      </x:c>
      <x:c r="D549" s="22" t="n">
        <x:v>107</x:v>
      </x:c>
      <x:c r="E549" s="11" t="str">
        <x:v>plot coverage, setback, setbacks</x:v>
      </x:c>
      <x:c r="F549" s="11" t="str">
        <x:v>titutions Minimum Site Extent for Subdivision (Sq.m.) 2220sqm Permissible Height (m) 350m Maximum Plot Coverage (%) 50% Minimum Setbacks (m) Building Line Width 24m – D. R. Wijewardhana Mawatha (12m from center) Rear Space 10m from Lake Edge (Including 6m Linear Park) Side Space 6m both side Special Guidelines • 1m setback from building line edge of the D.R. Wijewardhana Mawatha for plantation • Balance 50% of the land (Open Area) should be landscaped &amp; main- tained greenery. Site Reference Number – 020 || for Subdivision (Sq.m.) 2220sqm Permissible Height (m) 350m Maximum Plot Coverage (%) 50% Minimum Setbacks (m) Building Line Width 24m – D. R. Wijewardhana Mawatha (12m from center) Rear Space 10m from Lake Edge (Including 6m Linear Park) Side Space 6m both side Special Guidelines • 1m setback from building line edge of the D.R. Wijewardhana Mawatha for plantation • Balance 50% of the land (Open Area) should be landscaped &amp; main- tained greenery. Site Reference Number – 020 || pace 10m from Lake Edge (Including 6m Linear Park) Side Space 6m both side Special Guidelines • 1m setback from building line edge of the D.R. Wijewardhana Mawatha for plantation • Balance 50% of the land (Open Area) should be landscaped &amp; main- tained greenery. Site Reference Number – 020</x:v>
      </x:c>
      <x:c r="G549" s="11" t="str">
        <x:v>candidate_unreviewed</x:v>
      </x:c>
      <x:c r="H549" s="24" t="b">
        <x:v>0</x:v>
      </x:c>
      <x:c r="I549" s="11" t="str">
        <x:v>Keyword extraction only. Read page image and full context before promoting. English search cannot exclude Sinhala/Tamil or image-only content.</x:v>
      </x:c>
    </x:row>
    <x:row r="550" ht="224" customHeight="1">
      <x:c r="A550" s="8" t="str">
        <x:v>C00549</x:v>
      </x:c>
      <x:c r="B550" s="8" t="str">
        <x:v>SRC_0098</x:v>
      </x:c>
      <x:c r="C550" s="8" t="str">
        <x:v>beira_lake-English.pdf</x:v>
      </x:c>
      <x:c r="D550" s="18" t="n">
        <x:v>108</x:v>
      </x:c>
      <x:c r="E550" s="8" t="str">
        <x:v>plot coverage, setbacks</x:v>
      </x:c>
      <x:c r="F550" s="8" t="str">
        <x:v>ontinued. Minimum Site Extent for Subdivision (Sq.m.) 1500sqm Permissible Height (m) 100m Maximum Plot Coverage (%) Podium 65% Tower 50% Minimum Setbacks (m) Street Line Width 12.2m (6.1m from center) Building Line Width 32m – T.B.Jayah Mawatha (16m from center) Rear Space 10m from Lake Edge (Including 6m Linear Park) Side Space 6m both side Special Guidelines Site Reference Number – 021 || (Sq.m.) 1500sqm Permissible Height (m) 100m Maximum Plot Coverage (%) Podium 65% Tower 50% Minimum Setbacks (m) Street Line Width 12.2m (6.1m from center) Building Line Width 32m – T.B.Jayah Mawatha (16m from center) Rear Space 10m from Lake Edge (Including 6m Linear Park) Side Space 6m both side Special Guidelines Site Reference Number – 021</x:v>
      </x:c>
      <x:c r="G550" s="8" t="str">
        <x:v>candidate_unreviewed</x:v>
      </x:c>
      <x:c r="H550" s="21" t="b">
        <x:v>0</x:v>
      </x:c>
      <x:c r="I550" s="8" t="str">
        <x:v>Keyword extraction only. Read page image and full context before promoting. English search cannot exclude Sinhala/Tamil or image-only content.</x:v>
      </x:c>
    </x:row>
    <x:row r="551" ht="168" customHeight="1">
      <x:c r="A551" s="11" t="str">
        <x:v>C00550</x:v>
      </x:c>
      <x:c r="B551" s="11" t="str">
        <x:v>SRC_0098</x:v>
      </x:c>
      <x:c r="C551" s="11" t="str">
        <x:v>beira_lake-English.pdf</x:v>
      </x:c>
      <x:c r="D551" s="22" t="n">
        <x:v>109</x:v>
      </x:c>
      <x:c r="E551" s="11" t="str">
        <x:v>plot coverage, setbacks</x:v>
      </x:c>
      <x:c r="F551" s="11" t="str">
        <x:v>ontinued. Minimum Site Extent for Subdivision (Sq.m.) 1500sqm Permissible Height (m) 100m Maximum Plot Coverage (%) Podium 65% Tower 50% Minimum Setbacks (m) Building Line Width 32m – T.B Jayah Mawatha (16m from center) Rear Space 6m Side Space 6m both side Special Guidelines || (Sq.m.) 1500sqm Permissible Height (m) 100m Maximum Plot Coverage (%) Podium 65% Tower 50% Minimum Setbacks (m) Building Line Width 32m – T.B Jayah Mawatha (16m from center) Rear Space 6m Side Space 6m both side Special Guidelines</x:v>
      </x:c>
      <x:c r="G551" s="11" t="str">
        <x:v>candidate_unreviewed</x:v>
      </x:c>
      <x:c r="H551" s="24" t="b">
        <x:v>0</x:v>
      </x:c>
      <x:c r="I551" s="11" t="str">
        <x:v>Keyword extraction only. Read page image and full context before promoting. English search cannot exclude Sinhala/Tamil or image-only content.</x:v>
      </x:c>
    </x:row>
    <x:row r="552" ht="224" customHeight="1">
      <x:c r="A552" s="8" t="str">
        <x:v>C00551</x:v>
      </x:c>
      <x:c r="B552" s="8" t="str">
        <x:v>SRC_0098</x:v>
      </x:c>
      <x:c r="C552" s="8" t="str">
        <x:v>beira_lake-English.pdf</x:v>
      </x:c>
      <x:c r="D552" s="18" t="n">
        <x:v>110</x:v>
      </x:c>
      <x:c r="E552" s="8" t="str">
        <x:v>plot coverage, setbacks</x:v>
      </x:c>
      <x:c r="F552" s="8" t="str">
        <x:v>titutions Minimum Site Extent for Subdivision (Sq.m.) 1500sqm Permissible Height (m) 200m Maximum Plot Coverage (%) Podium 65% Tower 50% Minimum Setbacks (m) Building Line Width 32m – T.B.Jayah Mawatha (16m from center) Rear Space 6m Side Space 6m both side Special Guidelines • Drain reservation for common drain to be maintained as per the CMC requirements. Site Reference Number – 023 || (Sq.m.) 1500sqm Permissible Height (m) 200m Maximum Plot Coverage (%) Podium 65% Tower 50% Minimum Setbacks (m) Building Line Width 32m – T.B.Jayah Mawatha (16m from center) Rear Space 6m Side Space 6m both side Special Guidelines • Drain reservation for common drain to be maintained as per the CMC requirements. Site Reference Number – 023</x:v>
      </x:c>
      <x:c r="G552" s="8" t="str">
        <x:v>candidate_unreviewed</x:v>
      </x:c>
      <x:c r="H552" s="21" t="b">
        <x:v>0</x:v>
      </x:c>
      <x:c r="I552" s="8" t="str">
        <x:v>Keyword extraction only. Read page image and full context before promoting. English search cannot exclude Sinhala/Tamil or image-only content.</x:v>
      </x:c>
    </x:row>
    <x:row r="553" ht="210" customHeight="1">
      <x:c r="A553" s="11" t="str">
        <x:v>C00552</x:v>
      </x:c>
      <x:c r="B553" s="11" t="str">
        <x:v>SRC_0098</x:v>
      </x:c>
      <x:c r="C553" s="11" t="str">
        <x:v>beira_lake-English.pdf</x:v>
      </x:c>
      <x:c r="D553" s="22" t="n">
        <x:v>111</x:v>
      </x:c>
      <x:c r="E553" s="11" t="str">
        <x:v>plot coverage, setbacks</x:v>
      </x:c>
      <x:c r="F553" s="11" t="str">
        <x:v>titutions Minimum Site Extent for Subdivision (Sq.m.) 1500sqm Permissible Height (m) 200m Maximum Plot Coverage (%) Podium 65% Tower 50% Minimum Setbacks (m) Building Line Width 32m – T.B Jayah Mawatha (16m from center) Rear Space 6m Side Space 6m both side Special Guidelines • Drain reservation for common drain to be maintained as per the CMC requirements. || (Sq.m.) 1500sqm Permissible Height (m) 200m Maximum Plot Coverage (%) Podium 65% Tower 50% Minimum Setbacks (m) Building Line Width 32m – T.B Jayah Mawatha (16m from center) Rear Space 6m Side Space 6m both side Special Guidelines • Drain reservation for common drain to be maintained as per the CMC requirements.</x:v>
      </x:c>
      <x:c r="G553" s="11" t="str">
        <x:v>candidate_unreviewed</x:v>
      </x:c>
      <x:c r="H553" s="24" t="b">
        <x:v>0</x:v>
      </x:c>
      <x:c r="I553" s="11" t="str">
        <x:v>Keyword extraction only. Read page image and full context before promoting. English search cannot exclude Sinhala/Tamil or image-only content.</x:v>
      </x:c>
    </x:row>
    <x:row r="554" ht="224" customHeight="1">
      <x:c r="A554" s="8" t="str">
        <x:v>C00553</x:v>
      </x:c>
      <x:c r="B554" s="8" t="str">
        <x:v>SRC_0098</x:v>
      </x:c>
      <x:c r="C554" s="8" t="str">
        <x:v>beira_lake-English.pdf</x:v>
      </x:c>
      <x:c r="D554" s="18" t="n">
        <x:v>112</x:v>
      </x:c>
      <x:c r="E554" s="8" t="str">
        <x:v>plot coverage, setbacks</x:v>
      </x:c>
      <x:c r="F554" s="8" t="str">
        <x:v>titutions Minimum Site Extent for Subdivision (Sq.m.) 1500sqm Permissible Height (m) 200m Maximum Plot Coverage (%) Podium 65% Tower 50% Minimum Setbacks (m) Building Line Width 32m – T.B.Jayah Mawatha (16m from center) Rear Space 6m Side Space 6m both side Special Guidelines • Drain reservation for common drain to be maintained as per the CMC requirements. Site Reference Number – 025 || (Sq.m.) 1500sqm Permissible Height (m) 200m Maximum Plot Coverage (%) Podium 65% Tower 50% Minimum Setbacks (m) Building Line Width 32m – T.B.Jayah Mawatha (16m from center) Rear Space 6m Side Space 6m both side Special Guidelines • Drain reservation for common drain to be maintained as per the CMC requirements. Site Reference Number – 025</x:v>
      </x:c>
      <x:c r="G554" s="8" t="str">
        <x:v>candidate_unreviewed</x:v>
      </x:c>
      <x:c r="H554" s="21" t="b">
        <x:v>0</x:v>
      </x:c>
      <x:c r="I554" s="8" t="str">
        <x:v>Keyword extraction only. Read page image and full context before promoting. English search cannot exclude Sinhala/Tamil or image-only content.</x:v>
      </x:c>
    </x:row>
    <x:row r="555" ht="182" customHeight="1">
      <x:c r="A555" s="11" t="str">
        <x:v>C00554</x:v>
      </x:c>
      <x:c r="B555" s="11" t="str">
        <x:v>SRC_0098</x:v>
      </x:c>
      <x:c r="C555" s="11" t="str">
        <x:v>beira_lake-English.pdf</x:v>
      </x:c>
      <x:c r="D555" s="22" t="n">
        <x:v>113</x:v>
      </x:c>
      <x:c r="E555" s="11" t="str">
        <x:v>plot coverage, setbacks</x:v>
      </x:c>
      <x:c r="F555" s="11" t="str">
        <x:v>titutions Minimum Site Extent for Subdivision (Sq.m.) 1500sqm Permissible Height (m) 100m Maximum Plot Coverage (%) Podium 65% Tower 50% Minimum Setbacks (m) Street Line Width 12.2m (6.1m from center) Rear Space 10m from Lake Edge (Including 6m Linear Park) Side Space 6m both side Special Guidelines || (Sq.m.) 1500sqm Permissible Height (m) 100m Maximum Plot Coverage (%) Podium 65% Tower 50% Minimum Setbacks (m) Street Line Width 12.2m (6.1m from center) Rear Space 10m from Lake Edge (Including 6m Linear Park) Side Space 6m both side Special Guidelines</x:v>
      </x:c>
      <x:c r="G555" s="11" t="str">
        <x:v>candidate_unreviewed</x:v>
      </x:c>
      <x:c r="H555" s="24" t="b">
        <x:v>0</x:v>
      </x:c>
      <x:c r="I555" s="11" t="str">
        <x:v>Keyword extraction only. Read page image and full context before promoting. English search cannot exclude Sinhala/Tamil or image-only content.</x:v>
      </x:c>
    </x:row>
    <x:row r="556" ht="196" customHeight="1">
      <x:c r="A556" s="8" t="str">
        <x:v>C00555</x:v>
      </x:c>
      <x:c r="B556" s="8" t="str">
        <x:v>SRC_0098</x:v>
      </x:c>
      <x:c r="C556" s="8" t="str">
        <x:v>beira_lake-English.pdf</x:v>
      </x:c>
      <x:c r="D556" s="18" t="n">
        <x:v>114</x:v>
      </x:c>
      <x:c r="E556" s="8" t="str">
        <x:v>plot coverage, setbacks</x:v>
      </x:c>
      <x:c r="F556" s="8" t="str">
        <x:v>titutions Minimum Site Extent for Subdivision (Sq.m.) 1500sqm Permissible Height (m) 200m Maximum Plot Coverage (%) Podium 65% Tower 50% Minimum Setbacks (m) Street Line Width 24.4m (12.2m from center) Building Line Width 32m – T.B.Jayah Mawatha (16m from center) Rear Space 6m Side Space 6m both side Special Guidelines || (Sq.m.) 1500sqm Permissible Height (m) 200m Maximum Plot Coverage (%) Podium 65% Tower 50% Minimum Setbacks (m) Street Line Width 24.4m (12.2m from center) Building Line Width 32m – T.B.Jayah Mawatha (16m from center) Rear Space 6m Side Space 6m both side Special Guidelines</x:v>
      </x:c>
      <x:c r="G556" s="8" t="str">
        <x:v>candidate_unreviewed</x:v>
      </x:c>
      <x:c r="H556" s="21" t="b">
        <x:v>0</x:v>
      </x:c>
      <x:c r="I556" s="8" t="str">
        <x:v>Keyword extraction only. Read page image and full context before promoting. English search cannot exclude Sinhala/Tamil or image-only content.</x:v>
      </x:c>
    </x:row>
    <x:row r="557" ht="210" customHeight="1">
      <x:c r="A557" s="11" t="str">
        <x:v>C00556</x:v>
      </x:c>
      <x:c r="B557" s="11" t="str">
        <x:v>SRC_0098</x:v>
      </x:c>
      <x:c r="C557" s="11" t="str">
        <x:v>beira_lake-English.pdf</x:v>
      </x:c>
      <x:c r="D557" s="22" t="n">
        <x:v>115</x:v>
      </x:c>
      <x:c r="E557" s="11" t="str">
        <x:v>plot coverage, setbacks</x:v>
      </x:c>
      <x:c r="F557" s="11" t="str">
        <x:v>titutions Minimum Site Extent for Subdivision (Sq.m.) 1500sqm Permissible Height (m) 100m Maximum Plot Coverage (%) Podium 65% Tower 50% Minimum Setbacks (m) Street Line Width 12.2m (6.1m from center) Rear Space 10m from Lake Edge (Including 6m Linear Park) Side Space 6m both side Special Guidelines • Existing archeological buildings to be conserved || (Sq.m.) 1500sqm Permissible Height (m) 100m Maximum Plot Coverage (%) Podium 65% Tower 50% Minimum Setbacks (m) Street Line Width 12.2m (6.1m from center) Rear Space 10m from Lake Edge (Including 6m Linear Park) Side Space 6m both side Special Guidelines • Existing archeological buildings to be conserved</x:v>
      </x:c>
      <x:c r="G557" s="11" t="str">
        <x:v>candidate_unreviewed</x:v>
      </x:c>
      <x:c r="H557" s="24" t="b">
        <x:v>0</x:v>
      </x:c>
      <x:c r="I557" s="11" t="str">
        <x:v>Keyword extraction only. Read page image and full context before promoting. English search cannot exclude Sinhala/Tamil or image-only content.</x:v>
      </x:c>
    </x:row>
    <x:row r="558" ht="224" customHeight="1">
      <x:c r="A558" s="8" t="str">
        <x:v>C00557</x:v>
      </x:c>
      <x:c r="B558" s="8" t="str">
        <x:v>SRC_0098</x:v>
      </x:c>
      <x:c r="C558" s="8" t="str">
        <x:v>beira_lake-English.pdf</x:v>
      </x:c>
      <x:c r="D558" s="18" t="n">
        <x:v>116</x:v>
      </x:c>
      <x:c r="E558" s="8" t="str">
        <x:v>plot coverage, setbacks</x:v>
      </x:c>
      <x:c r="F558" s="8" t="str">
        <x:v>vision (Sq.m.) 1500sqm Permissible Height (m) As per the City of Colombo Development Plan Maximum Plot Coverage (%) Podium 65% Tower 50% Minimum Setbacks (m) Street Line Width 24.4m (12.2m from center) Building Line Width 32m – T.B.Jayah Mawatha (16m from center) Rear Space 6m Side Space 6m both side Special Guidelines • Existing archeological buildings to be conserved || s per the City of Colombo Development Plan Maximum Plot Coverage (%) Podium 65% Tower 50% Minimum Setbacks (m) Street Line Width 24.4m (12.2m from center) Building Line Width 32m – T.B.Jayah Mawatha (16m from center) Rear Space 6m Side Space 6m both side Special Guidelines • Existing archeological buildings to be conserved</x:v>
      </x:c>
      <x:c r="G558" s="8" t="str">
        <x:v>candidate_unreviewed</x:v>
      </x:c>
      <x:c r="H558" s="21" t="b">
        <x:v>0</x:v>
      </x:c>
      <x:c r="I558" s="8" t="str">
        <x:v>Keyword extraction only. Read page image and full context before promoting. English search cannot exclude Sinhala/Tamil or image-only content.</x:v>
      </x:c>
    </x:row>
    <x:row r="559" ht="182" customHeight="1">
      <x:c r="A559" s="11" t="str">
        <x:v>C00558</x:v>
      </x:c>
      <x:c r="B559" s="11" t="str">
        <x:v>SRC_0098</x:v>
      </x:c>
      <x:c r="C559" s="11" t="str">
        <x:v>beira_lake-English.pdf</x:v>
      </x:c>
      <x:c r="D559" s="22" t="n">
        <x:v>117</x:v>
      </x:c>
      <x:c r="E559" s="11" t="str">
        <x:v>plot coverage, setbacks</x:v>
      </x:c>
      <x:c r="F559" s="11" t="str">
        <x:v>vision (Sq.m.) 1500sqm Permissible Height (m) As per the City of Colombo Development Plan Maximum Plot Coverage (%) Podium 65% Tower 50% Minimum Setbacks (m) Street Line Width 12.2m (6.1m from center) Rear Space 10m from Lake Edge (Including 6m Linear Park) Side Space 6m both side Special Guidelines || s per the City of Colombo Development Plan Maximum Plot Coverage (%) Podium 65% Tower 50% Minimum Setbacks (m) Street Line Width 12.2m (6.1m from center) Rear Space 10m from Lake Edge (Including 6m Linear Park) Side Space 6m both side Special Guidelines</x:v>
      </x:c>
      <x:c r="G559" s="11" t="str">
        <x:v>candidate_unreviewed</x:v>
      </x:c>
      <x:c r="H559" s="24" t="b">
        <x:v>0</x:v>
      </x:c>
      <x:c r="I559" s="11" t="str">
        <x:v>Keyword extraction only. Read page image and full context before promoting. English search cannot exclude Sinhala/Tamil or image-only content.</x:v>
      </x:c>
    </x:row>
    <x:row r="560" ht="182" customHeight="1">
      <x:c r="A560" s="8" t="str">
        <x:v>C00559</x:v>
      </x:c>
      <x:c r="B560" s="8" t="str">
        <x:v>SRC_0098</x:v>
      </x:c>
      <x:c r="C560" s="8" t="str">
        <x:v>beira_lake-English.pdf</x:v>
      </x:c>
      <x:c r="D560" s="18" t="n">
        <x:v>118</x:v>
      </x:c>
      <x:c r="E560" s="8" t="str">
        <x:v>plot coverage, setbacks</x:v>
      </x:c>
      <x:c r="F560" s="8" t="str">
        <x:v>vision (Sq.m.) 1500sqm Permissible Height (m) As per the City of Colombo Development Plan Maximum Plot Coverage (%) Podium 65% Tower 50% Minimum Setbacks (m) Street Line Width 12.2m (6.1m from center) Rear Space 10m from Lake Edge (Including 6m Linear Park) Side Space 6m both side Special Guidelines || s per the City of Colombo Development Plan Maximum Plot Coverage (%) Podium 65% Tower 50% Minimum Setbacks (m) Street Line Width 12.2m (6.1m from center) Rear Space 10m from Lake Edge (Including 6m Linear Park) Side Space 6m both side Special Guidelines</x:v>
      </x:c>
      <x:c r="G560" s="8" t="str">
        <x:v>candidate_unreviewed</x:v>
      </x:c>
      <x:c r="H560" s="21" t="b">
        <x:v>0</x:v>
      </x:c>
      <x:c r="I560" s="8" t="str">
        <x:v>Keyword extraction only. Read page image and full context before promoting. English search cannot exclude Sinhala/Tamil or image-only content.</x:v>
      </x:c>
    </x:row>
    <x:row r="561" ht="182" customHeight="1">
      <x:c r="A561" s="11" t="str">
        <x:v>C00560</x:v>
      </x:c>
      <x:c r="B561" s="11" t="str">
        <x:v>SRC_0098</x:v>
      </x:c>
      <x:c r="C561" s="11" t="str">
        <x:v>beira_lake-English.pdf</x:v>
      </x:c>
      <x:c r="D561" s="22" t="n">
        <x:v>119</x:v>
      </x:c>
      <x:c r="E561" s="11" t="str">
        <x:v>plot coverage, setbacks</x:v>
      </x:c>
      <x:c r="F561" s="11" t="str">
        <x:v>vision (Sq.m.) 1500sqm Permissible Height (m) As per the City of Colombo Development Plan Maximum Plot Coverage (%) Podium 65% Tower 50% Minimum Setbacks (m) Street Line Width 24.4m (12.2m from center) Building Line Width 32m – T.B.Jayah Mawatha Rear Space 6m Side Space 6m both side Special Guidelines || s per the City of Colombo Development Plan Maximum Plot Coverage (%) Podium 65% Tower 50% Minimum Setbacks (m) Street Line Width 24.4m (12.2m from center) Building Line Width 32m – T.B.Jayah Mawatha Rear Space 6m Side Space 6m both side Special Guidelines</x:v>
      </x:c>
      <x:c r="G561" s="11" t="str">
        <x:v>candidate_unreviewed</x:v>
      </x:c>
      <x:c r="H561" s="24" t="b">
        <x:v>0</x:v>
      </x:c>
      <x:c r="I561" s="11" t="str">
        <x:v>Keyword extraction only. Read page image and full context before promoting. English search cannot exclude Sinhala/Tamil or image-only content.</x:v>
      </x:c>
    </x:row>
    <x:row r="562" ht="196" customHeight="1">
      <x:c r="A562" s="8" t="str">
        <x:v>C00561</x:v>
      </x:c>
      <x:c r="B562" s="8" t="str">
        <x:v>SRC_0098</x:v>
      </x:c>
      <x:c r="C562" s="8" t="str">
        <x:v>beira_lake-English.pdf</x:v>
      </x:c>
      <x:c r="D562" s="18" t="n">
        <x:v>120</x:v>
      </x:c>
      <x:c r="E562" s="8" t="str">
        <x:v>plot coverage, setbacks</x:v>
      </x:c>
      <x:c r="F562" s="8" t="str">
        <x:v>vision (Sq.m.) 1500sqm Permissible Height (m) As per the City of Colombo Development Plan Maximum Plot Coverage (%) Podium 65% Tower 50% Minimum Setbacks (m) Street Line Width 24.4m (12.2m from center) Building Line Width 32m – T.B.Jayah Mawatha (16m from center) Rear Space 6m Side Space 6m both side Special Guidelines || s per the City of Colombo Development Plan Maximum Plot Coverage (%) Podium 65% Tower 50% Minimum Setbacks (m) Street Line Width 24.4m (12.2m from center) Building Line Width 32m – T.B.Jayah Mawatha (16m from center) Rear Space 6m Side Space 6m both side Special Guidelines</x:v>
      </x:c>
      <x:c r="G562" s="8" t="str">
        <x:v>candidate_unreviewed</x:v>
      </x:c>
      <x:c r="H562" s="21" t="b">
        <x:v>0</x:v>
      </x:c>
      <x:c r="I562" s="8" t="str">
        <x:v>Keyword extraction only. Read page image and full context before promoting. English search cannot exclude Sinhala/Tamil or image-only content.</x:v>
      </x:c>
    </x:row>
    <x:row r="563" ht="210" customHeight="1">
      <x:c r="A563" s="11" t="str">
        <x:v>C00562</x:v>
      </x:c>
      <x:c r="B563" s="11" t="str">
        <x:v>SRC_0098</x:v>
      </x:c>
      <x:c r="C563" s="11" t="str">
        <x:v>beira_lake-English.pdf</x:v>
      </x:c>
      <x:c r="D563" s="22" t="n">
        <x:v>121</x:v>
      </x:c>
      <x:c r="E563" s="11" t="str">
        <x:v>plot coverage, setbacks</x:v>
      </x:c>
      <x:c r="F563" s="11" t="str">
        <x:v>ivision (Sq.m.) 1500sqm Permissible Height (m) As per the City of Colombo Development Plan Maximum Plot Coverage (%) Podium 65% Tower 50% Minimum Setbacks (m) Street Line Width 24.4m (12.2m from center) Building Line Width 32m – T.B.Jayah Mawatha (16m from center) Rear Space 10m from Lake Edge (Including 6m Linear Park) Side Space 6m both side Special Guidelines || As per the City of Colombo Development Plan Maximum Plot Coverage (%) Podium 65% Tower 50% Minimum Setbacks (m) Street Line Width 24.4m (12.2m from center) Building Line Width 32m – T.B.Jayah Mawatha (16m from center) Rear Space 10m from Lake Edge (Including 6m Linear Park) Side Space 6m both side Special Guidelines</x:v>
      </x:c>
      <x:c r="G563" s="11" t="str">
        <x:v>candidate_unreviewed</x:v>
      </x:c>
      <x:c r="H563" s="24" t="b">
        <x:v>0</x:v>
      </x:c>
      <x:c r="I563" s="11" t="str">
        <x:v>Keyword extraction only. Read page image and full context before promoting. English search cannot exclude Sinhala/Tamil or image-only content.</x:v>
      </x:c>
    </x:row>
    <x:row r="564" ht="210" customHeight="1">
      <x:c r="A564" s="8" t="str">
        <x:v>C00563</x:v>
      </x:c>
      <x:c r="B564" s="8" t="str">
        <x:v>SRC_0098</x:v>
      </x:c>
      <x:c r="C564" s="8" t="str">
        <x:v>beira_lake-English.pdf</x:v>
      </x:c>
      <x:c r="D564" s="18" t="n">
        <x:v>122</x:v>
      </x:c>
      <x:c r="E564" s="8" t="str">
        <x:v>plot coverage, setbacks</x:v>
      </x:c>
      <x:c r="F564" s="8" t="str">
        <x:v>vision (Sq.m.) 1500sqm Permissible Height (m) As per the City of Colombo Development Plan Maximum Plot Coverage (%) Podium 65% Tower 50% Minimum Setbacks (m) Street Line Width 24.4m (12.2m from center) Building Line Width 32m – T.B.Jayah Mawatha (16m from center) Rear Space 10m from Lake Edge (Including 6m Linear Park) Side Space 6m both side Special Guidelines || s per the City of Colombo Development Plan Maximum Plot Coverage (%) Podium 65% Tower 50% Minimum Setbacks (m) Street Line Width 24.4m (12.2m from center) Building Line Width 32m – T.B.Jayah Mawatha (16m from center) Rear Space 10m from Lake Edge (Including 6m Linear Park) Side Space 6m both side Special Guidelines</x:v>
      </x:c>
      <x:c r="G564" s="8" t="str">
        <x:v>candidate_unreviewed</x:v>
      </x:c>
      <x:c r="H564" s="21" t="b">
        <x:v>0</x:v>
      </x:c>
      <x:c r="I564" s="8" t="str">
        <x:v>Keyword extraction only. Read page image and full context before promoting. English search cannot exclude Sinhala/Tamil or image-only content.</x:v>
      </x:c>
    </x:row>
    <x:row r="565" ht="196" customHeight="1">
      <x:c r="A565" s="11" t="str">
        <x:v>C00564</x:v>
      </x:c>
      <x:c r="B565" s="11" t="str">
        <x:v>SRC_0098</x:v>
      </x:c>
      <x:c r="C565" s="11" t="str">
        <x:v>beira_lake-English.pdf</x:v>
      </x:c>
      <x:c r="D565" s="22" t="n">
        <x:v>123</x:v>
      </x:c>
      <x:c r="E565" s="11" t="str">
        <x:v>plot coverage, setbacks</x:v>
      </x:c>
      <x:c r="F565" s="11" t="str">
        <x:v>vision (Sq.m.) 1500sqm Permissible Height (m) As per the City of Colombo Development Plan Maximum Plot Coverage (%) Podium 65% Tower 50% Minimum Setbacks (m) Street Line Width 24.4m (12.2m from center) Building Line Width 32m – T.B.Jayah Mawatha (16m from center) Rear Space 6m Side Space 6m both side Special Guidelines || s per the City of Colombo Development Plan Maximum Plot Coverage (%) Podium 65% Tower 50% Minimum Setbacks (m) Street Line Width 24.4m (12.2m from center) Building Line Width 32m – T.B.Jayah Mawatha (16m from center) Rear Space 6m Side Space 6m both side Special Guidelines</x:v>
      </x:c>
      <x:c r="G565" s="11" t="str">
        <x:v>candidate_unreviewed</x:v>
      </x:c>
      <x:c r="H565" s="24" t="b">
        <x:v>0</x:v>
      </x:c>
      <x:c r="I565" s="11" t="str">
        <x:v>Keyword extraction only. Read page image and full context before promoting. English search cannot exclude Sinhala/Tamil or image-only content.</x:v>
      </x:c>
    </x:row>
    <x:row r="566" ht="238" customHeight="1">
      <x:c r="A566" s="8" t="str">
        <x:v>C00565</x:v>
      </x:c>
      <x:c r="B566" s="8" t="str">
        <x:v>SRC_0098</x:v>
      </x:c>
      <x:c r="C566" s="8" t="str">
        <x:v>beira_lake-English.pdf</x:v>
      </x:c>
      <x:c r="D566" s="18" t="n">
        <x:v>124</x:v>
      </x:c>
      <x:c r="E566" s="8" t="str">
        <x:v>plot coverage, setbacks</x:v>
      </x:c>
      <x:c r="F566" s="8" t="str">
        <x:v>vision (Sq.m.) 1500sqm Permissible Height (m) As per the City of Colombo Development Plan Maximum Plot Coverage (%) Podium 65% Tower 50% Minimum Setbacks (m) Street Line Width 24.4m (12.2m from center) Building Line Width 32m – T.B.Jayah Mawatha (16m from center) Rear Space 6m Side Space 6m both side Special Guidelines • Existing building to be conserved as per the Archeological Department requirements. || s per the City of Colombo Development Plan Maximum Plot Coverage (%) Podium 65% Tower 50% Minimum Setbacks (m) Street Line Width 24.4m (12.2m from center) Building Line Width 32m – T.B.Jayah Mawatha (16m from center) Rear Space 6m Side Space 6m both side Special Guidelines • Existing building to be conserved as per the Archeological Department requirements.</x:v>
      </x:c>
      <x:c r="G566" s="8" t="str">
        <x:v>candidate_unreviewed</x:v>
      </x:c>
      <x:c r="H566" s="21" t="b">
        <x:v>0</x:v>
      </x:c>
      <x:c r="I566" s="8" t="str">
        <x:v>Keyword extraction only. Read page image and full context before promoting. English search cannot exclude Sinhala/Tamil or image-only content.</x:v>
      </x:c>
    </x:row>
    <x:row r="567" ht="280" customHeight="1">
      <x:c r="A567" s="11" t="str">
        <x:v>C00566</x:v>
      </x:c>
      <x:c r="B567" s="11" t="str">
        <x:v>SRC_0098</x:v>
      </x:c>
      <x:c r="C567" s="11" t="str">
        <x:v>beira_lake-English.pdf</x:v>
      </x:c>
      <x:c r="D567" s="22" t="n">
        <x:v>125</x:v>
      </x:c>
      <x:c r="E567" s="11" t="str">
        <x:v>plot coverage, setbacks</x:v>
      </x:c>
      <x:c r="F567" s="11" t="str">
        <x:v>Activities Minimum Site Extent for Subdivision (Sq.m.) 1500sqm Permissible Height (m) 10m Maximum Plot Coverage (%) 05% Minimum Setbacks (m) Street Line Width 24.4m T.B.Jayah Mawatha (12.2m from center) 15m – Vauxhall Street (7.5m from center) 22.86m - Union Place (11.3m from center) Building Line Width 32m – T.B.Jayah Mawatha (16m from center) 24m – Vauxhall Street (12m from center) 32m – Union Place (16m from center) Rear Space 6m Side Space 6m both side Special Guidelines || for Subdivision (Sq.m.) 1500sqm Permissible Height (m) 10m Maximum Plot Coverage (%) 05% Minimum Setbacks (m) Street Line Width 24.4m T.B.Jayah Mawatha (12.2m from center) 15m – Vauxhall Street (7.5m from center) 22.86m - Union Place (11.3m from center) Building Line Width 32m – T.B.Jayah Mawatha (16m from center) 24m – Vauxhall Street (12m from center) 32m – Union Place (16m from center) Rear Space 6m Side Space 6m both side Special Guidelines</x:v>
      </x:c>
      <x:c r="G567" s="11" t="str">
        <x:v>candidate_unreviewed</x:v>
      </x:c>
      <x:c r="H567" s="24" t="b">
        <x:v>0</x:v>
      </x:c>
      <x:c r="I567" s="11" t="str">
        <x:v>Keyword extraction only. Read page image and full context before promoting. English search cannot exclude Sinhala/Tamil or image-only content.</x:v>
      </x:c>
    </x:row>
    <x:row r="568" ht="224" customHeight="1">
      <x:c r="A568" s="8" t="str">
        <x:v>C00567</x:v>
      </x:c>
      <x:c r="B568" s="8" t="str">
        <x:v>SRC_0098</x:v>
      </x:c>
      <x:c r="C568" s="8" t="str">
        <x:v>beira_lake-English.pdf</x:v>
      </x:c>
      <x:c r="D568" s="18" t="n">
        <x:v>126</x:v>
      </x:c>
      <x:c r="E568" s="8" t="str">
        <x:v>plot coverage, setbacks</x:v>
      </x:c>
      <x:c r="F568" s="8" t="str">
        <x:v>vision (Sq.m.) 1500sqm Permissible Height (m) As per the City of Colombo Development Plan Maximum Plot Coverage (%) Podium 65% Tower 50% Minimum Setbacks (m) Building Line Width 24m – Vauxhall Street (12m from center) Rear Space 10m from Lake Edge (Including 6m Linear Park) Side Space 6m both side Special Guidelines • 6m wide public access should be maintained at west boundary. || s per the City of Colombo Development Plan Maximum Plot Coverage (%) Podium 65% Tower 50% Minimum Setbacks (m) Building Line Width 24m – Vauxhall Street (12m from center) Rear Space 10m from Lake Edge (Including 6m Linear Park) Side Space 6m both side Special Guidelines • 6m wide public access should be maintained at west boundary.</x:v>
      </x:c>
      <x:c r="G568" s="8" t="str">
        <x:v>candidate_unreviewed</x:v>
      </x:c>
      <x:c r="H568" s="21" t="b">
        <x:v>0</x:v>
      </x:c>
      <x:c r="I568" s="8" t="str">
        <x:v>Keyword extraction only. Read page image and full context before promoting. English search cannot exclude Sinhala/Tamil or image-only content.</x:v>
      </x:c>
    </x:row>
    <x:row r="569" ht="182" customHeight="1">
      <x:c r="A569" s="11" t="str">
        <x:v>C00568</x:v>
      </x:c>
      <x:c r="B569" s="11" t="str">
        <x:v>SRC_0098</x:v>
      </x:c>
      <x:c r="C569" s="11" t="str">
        <x:v>beira_lake-English.pdf</x:v>
      </x:c>
      <x:c r="D569" s="22" t="n">
        <x:v>127</x:v>
      </x:c>
      <x:c r="E569" s="11" t="str">
        <x:v>plot coverage, setbacks</x:v>
      </x:c>
      <x:c r="F569" s="11" t="str">
        <x:v>vision (Sq.m.) 1500sqm Permissible Height (m) As per the City of Colombo Development Plan Maximum Plot Coverage (%) Podium 65% Tower 50% Minimum Setbacks (m) Building Line Width 24m – Vauxhall Street (12m from center) Rear Space 10m from Lake Edge (Including 6m Linear Park) Side Space 6m both side Special Guidelines || s per the City of Colombo Development Plan Maximum Plot Coverage (%) Podium 65% Tower 50% Minimum Setbacks (m) Building Line Width 24m – Vauxhall Street (12m from center) Rear Space 10m from Lake Edge (Including 6m Linear Park) Side Space 6m both side Special Guidelines</x:v>
      </x:c>
      <x:c r="G569" s="11" t="str">
        <x:v>candidate_unreviewed</x:v>
      </x:c>
      <x:c r="H569" s="24" t="b">
        <x:v>0</x:v>
      </x:c>
      <x:c r="I569" s="11" t="str">
        <x:v>Keyword extraction only. Read page image and full context before promoting. English search cannot exclude Sinhala/Tamil or image-only content.</x:v>
      </x:c>
    </x:row>
    <x:row r="570" ht="182" customHeight="1">
      <x:c r="A570" s="8" t="str">
        <x:v>C00569</x:v>
      </x:c>
      <x:c r="B570" s="8" t="str">
        <x:v>SRC_0098</x:v>
      </x:c>
      <x:c r="C570" s="8" t="str">
        <x:v>beira_lake-English.pdf</x:v>
      </x:c>
      <x:c r="D570" s="18" t="n">
        <x:v>128</x:v>
      </x:c>
      <x:c r="E570" s="8" t="str">
        <x:v>plot coverage, setbacks</x:v>
      </x:c>
      <x:c r="F570" s="8" t="str">
        <x:v>vision (Sq.m.) 1500sqm Permissible Height (m) As per the City of Colombo Development Plan Maximum Plot Coverage (%) Podium 65% Tower 50% Minimum Setbacks (m) Building Line Width 24m – Vauxhall Street (12m from center) Rear Space 10m from Lake Edge (Including 6m Linear Park) Side Space 6m both side Special Guidelines || s per the City of Colombo Development Plan Maximum Plot Coverage (%) Podium 65% Tower 50% Minimum Setbacks (m) Building Line Width 24m – Vauxhall Street (12m from center) Rear Space 10m from Lake Edge (Including 6m Linear Park) Side Space 6m both side Special Guidelines</x:v>
      </x:c>
      <x:c r="G570" s="8" t="str">
        <x:v>candidate_unreviewed</x:v>
      </x:c>
      <x:c r="H570" s="21" t="b">
        <x:v>0</x:v>
      </x:c>
      <x:c r="I570" s="8" t="str">
        <x:v>Keyword extraction only. Read page image and full context before promoting. English search cannot exclude Sinhala/Tamil or image-only content.</x:v>
      </x:c>
    </x:row>
    <x:row r="571" ht="224" customHeight="1">
      <x:c r="A571" s="11" t="str">
        <x:v>C00570</x:v>
      </x:c>
      <x:c r="B571" s="11" t="str">
        <x:v>SRC_0098</x:v>
      </x:c>
      <x:c r="C571" s="11" t="str">
        <x:v>beira_lake-English.pdf</x:v>
      </x:c>
      <x:c r="D571" s="22" t="n">
        <x:v>129</x:v>
      </x:c>
      <x:c r="E571" s="11" t="str">
        <x:v>plot coverage, setbacks</x:v>
      </x:c>
      <x:c r="F571" s="11" t="str">
        <x:v>sidential Minimum Site Extent for Subdivision (Sq.m.) 1500sqm Permissible Height (m) 100m Maximum Plot Coverage (%) Phase I (Total) Podium – 20% Tower – 15% Phase II (Total) Podium – 10% Tower – 7.5% Minimum Setbacks (m) Street Line Width 15 m (7.5m from center) Building Line Width 24m – Vauxhall Street (12m from center) Rear Space 10m from Lake Edge (Including 6m Linear Park) Side Space 6m both side Special Guidelines || e (%) Phase I (Total) Podium – 20% Tower – 15% Phase II (Total) Podium – 10% Tower – 7.5% Minimum Setbacks (m) Street Line Width 15 m (7.5m from center) Building Line Width 24m – Vauxhall Street (12m from center) Rear Space 10m from Lake Edge (Including 6m Linear Park) Side Space 6m both side Special Guidelines</x:v>
      </x:c>
      <x:c r="G571" s="11" t="str">
        <x:v>candidate_unreviewed</x:v>
      </x:c>
      <x:c r="H571" s="24" t="b">
        <x:v>0</x:v>
      </x:c>
      <x:c r="I571" s="11" t="str">
        <x:v>Keyword extraction only. Read page image and full context before promoting. English search cannot exclude Sinhala/Tamil or image-only content.</x:v>
      </x:c>
    </x:row>
    <x:row r="572" ht="224" customHeight="1">
      <x:c r="A572" s="8" t="str">
        <x:v>C00571</x:v>
      </x:c>
      <x:c r="B572" s="8" t="str">
        <x:v>SRC_0098</x:v>
      </x:c>
      <x:c r="C572" s="8" t="str">
        <x:v>beira_lake-English.pdf</x:v>
      </x:c>
      <x:c r="D572" s="18" t="n">
        <x:v>130</x:v>
      </x:c>
      <x:c r="E572" s="8" t="str">
        <x:v>plot coverage, setbacks</x:v>
      </x:c>
      <x:c r="F572" s="8" t="str">
        <x:v>of Colombo Development Plan (If required) • As per the City of Colombo Development Plan Maximum Plot Coverage (%) Podium 65% Tower 50% Minimum Setbacks (m) Street Line Width 15 m (7.5m from center) 22.86m (11.43m from center) Building Line Width 24m – Vauxhall Street (12m from center) 32m – Union Place (16m from center) Rear Space 6m Side Space 6m both side Special Guidelines || s per the City of Colombo Development Plan Maximum Plot Coverage (%) Podium 65% Tower 50% Minimum Setbacks (m) Street Line Width 15 m (7.5m from center) 22.86m (11.43m from center) Building Line Width 24m – Vauxhall Street (12m from center) 32m – Union Place (16m from center) Rear Space 6m Side Space 6m both side Special Guidelines</x:v>
      </x:c>
      <x:c r="G572" s="8" t="str">
        <x:v>candidate_unreviewed</x:v>
      </x:c>
      <x:c r="H572" s="21" t="b">
        <x:v>0</x:v>
      </x:c>
      <x:c r="I572" s="8" t="str">
        <x:v>Keyword extraction only. Read page image and full context before promoting. English search cannot exclude Sinhala/Tamil or image-only content.</x:v>
      </x:c>
    </x:row>
    <x:row r="573" ht="210" customHeight="1">
      <x:c r="A573" s="11" t="str">
        <x:v>C00572</x:v>
      </x:c>
      <x:c r="B573" s="11" t="str">
        <x:v>SRC_0098</x:v>
      </x:c>
      <x:c r="C573" s="11" t="str">
        <x:v>beira_lake-English.pdf</x:v>
      </x:c>
      <x:c r="D573" s="22" t="n">
        <x:v>131</x:v>
      </x:c>
      <x:c r="E573" s="11" t="str">
        <x:v>plot coverage, setbacks</x:v>
      </x:c>
      <x:c r="F573" s="11" t="str">
        <x:v>vision (Sq.m.) 1500sqm Permissible Height (m) As per the City of Colombo Development Plan Maximum Plot Coverage (%) Podium 65% Tower 50% Minimum Setbacks (m) Street Line Width 15 m (7.5m from center) Building Line Width 24m – Vauxhall Street (12m from center) Rear Space 6m Side Space 6m both side Special Guidelines • Existing archeological buildings to be conserved || s per the City of Colombo Development Plan Maximum Plot Coverage (%) Podium 65% Tower 50% Minimum Setbacks (m) Street Line Width 15 m (7.5m from center) Building Line Width 24m – Vauxhall Street (12m from center) Rear Space 6m Side Space 6m both side Special Guidelines • Existing archeological buildings to be conserved</x:v>
      </x:c>
      <x:c r="G573" s="11" t="str">
        <x:v>candidate_unreviewed</x:v>
      </x:c>
      <x:c r="H573" s="24" t="b">
        <x:v>0</x:v>
      </x:c>
      <x:c r="I573" s="11" t="str">
        <x:v>Keyword extraction only. Read page image and full context before promoting. English search cannot exclude Sinhala/Tamil or image-only content.</x:v>
      </x:c>
    </x:row>
    <x:row r="574" ht="182" customHeight="1">
      <x:c r="A574" s="8" t="str">
        <x:v>C00573</x:v>
      </x:c>
      <x:c r="B574" s="8" t="str">
        <x:v>SRC_0098</x:v>
      </x:c>
      <x:c r="C574" s="8" t="str">
        <x:v>beira_lake-English.pdf</x:v>
      </x:c>
      <x:c r="D574" s="18" t="n">
        <x:v>132</x:v>
      </x:c>
      <x:c r="E574" s="8" t="str">
        <x:v>plot coverage, setbacks</x:v>
      </x:c>
      <x:c r="F574" s="8" t="str">
        <x:v>titutions Minimum Site Extent for Subdivision (Sq.m.) 1500sqm Permissible Height (m) 150m Maximum Plot Coverage (%) Podium 65% Tower 50% Minimum Setbacks (m) Street Line Width 15m (7.5m from center) Building Line Width 24m – Vauxhall Street (12m from center) Rear Space 6m Side Space 6m both side Special Guidelines || (Sq.m.) 1500sqm Permissible Height (m) 150m Maximum Plot Coverage (%) Podium 65% Tower 50% Minimum Setbacks (m) Street Line Width 15m (7.5m from center) Building Line Width 24m – Vauxhall Street (12m from center) Rear Space 6m Side Space 6m both side Special Guidelines</x:v>
      </x:c>
      <x:c r="G574" s="8" t="str">
        <x:v>candidate_unreviewed</x:v>
      </x:c>
      <x:c r="H574" s="21" t="b">
        <x:v>0</x:v>
      </x:c>
      <x:c r="I574" s="8" t="str">
        <x:v>Keyword extraction only. Read page image and full context before promoting. English search cannot exclude Sinhala/Tamil or image-only content.</x:v>
      </x:c>
    </x:row>
    <x:row r="575" ht="182" customHeight="1">
      <x:c r="A575" s="11" t="str">
        <x:v>C00574</x:v>
      </x:c>
      <x:c r="B575" s="11" t="str">
        <x:v>SRC_0098</x:v>
      </x:c>
      <x:c r="C575" s="11" t="str">
        <x:v>beira_lake-English.pdf</x:v>
      </x:c>
      <x:c r="D575" s="22" t="n">
        <x:v>133</x:v>
      </x:c>
      <x:c r="E575" s="11" t="str">
        <x:v>plot coverage, setbacks</x:v>
      </x:c>
      <x:c r="F575" s="11" t="str">
        <x:v>titutions Minimum Site Extent for Subdivision (Sq.m.) 1500sqm Permissible Height (m) 160m Maximum Plot Coverage (%) Podium 65% Tower 50% Minimum Setbacks (m) Street Line Width 15 m (7.5m from center) Building Line Width 24m – Vauxhall Street (12m from center) Rear Space 6m Side Space 6m both side Special Guidelines || (Sq.m.) 1500sqm Permissible Height (m) 160m Maximum Plot Coverage (%) Podium 65% Tower 50% Minimum Setbacks (m) Street Line Width 15 m (7.5m from center) Building Line Width 24m – Vauxhall Street (12m from center) Rear Space 6m Side Space 6m both side Special Guidelines</x:v>
      </x:c>
      <x:c r="G575" s="11" t="str">
        <x:v>candidate_unreviewed</x:v>
      </x:c>
      <x:c r="H575" s="24" t="b">
        <x:v>0</x:v>
      </x:c>
      <x:c r="I575" s="11" t="str">
        <x:v>Keyword extraction only. Read page image and full context before promoting. English search cannot exclude Sinhala/Tamil or image-only content.</x:v>
      </x:c>
    </x:row>
    <x:row r="576" ht="182" customHeight="1">
      <x:c r="A576" s="8" t="str">
        <x:v>C00575</x:v>
      </x:c>
      <x:c r="B576" s="8" t="str">
        <x:v>SRC_0098</x:v>
      </x:c>
      <x:c r="C576" s="8" t="str">
        <x:v>beira_lake-English.pdf</x:v>
      </x:c>
      <x:c r="D576" s="18" t="n">
        <x:v>134</x:v>
      </x:c>
      <x:c r="E576" s="8" t="str">
        <x:v>plot coverage, setbacks</x:v>
      </x:c>
      <x:c r="F576" s="8" t="str">
        <x:v>titutions Minimum Site Extent for Subdivision (Sq.m.) 1500sqm Permissible Height (m) 200m Maximum Plot Coverage (%) Podium 65% Tower 50% Minimum Setbacks (m) Street Line Width 15m (7.5m from center) Building Line Width 24m – Vauxhall Street (12m from center) Rear Space 6m Side Space 6m both side Special Guidelines || (Sq.m.) 1500sqm Permissible Height (m) 200m Maximum Plot Coverage (%) Podium 65% Tower 50% Minimum Setbacks (m) Street Line Width 15m (7.5m from center) Building Line Width 24m – Vauxhall Street (12m from center) Rear Space 6m Side Space 6m both side Special Guidelines</x:v>
      </x:c>
      <x:c r="G576" s="8" t="str">
        <x:v>candidate_unreviewed</x:v>
      </x:c>
      <x:c r="H576" s="21" t="b">
        <x:v>0</x:v>
      </x:c>
      <x:c r="I576" s="8" t="str">
        <x:v>Keyword extraction only. Read page image and full context before promoting. English search cannot exclude Sinhala/Tamil or image-only content.</x:v>
      </x:c>
    </x:row>
    <x:row r="577" ht="182" customHeight="1">
      <x:c r="A577" s="11" t="str">
        <x:v>C00576</x:v>
      </x:c>
      <x:c r="B577" s="11" t="str">
        <x:v>SRC_0098</x:v>
      </x:c>
      <x:c r="C577" s="11" t="str">
        <x:v>beira_lake-English.pdf</x:v>
      </x:c>
      <x:c r="D577" s="22" t="n">
        <x:v>135</x:v>
      </x:c>
      <x:c r="E577" s="11" t="str">
        <x:v>plot coverage, setbacks</x:v>
      </x:c>
      <x:c r="F577" s="11" t="str">
        <x:v>titutions Minimum Site Extent for Subdivision (Sq.m.) 1500sqm Permissible Height (m) 200m Maximum Plot Coverage (%) Podium 65% Tower 50% Minimum Setbacks (m) Street Line Width 15 m (7.5m from center) Building Line Width 24m – Vauxhall Street (12m from center) Rear Space 6m Side Space 6m both side Special Guidelines || (Sq.m.) 1500sqm Permissible Height (m) 200m Maximum Plot Coverage (%) Podium 65% Tower 50% Minimum Setbacks (m) Street Line Width 15 m (7.5m from center) Building Line Width 24m – Vauxhall Street (12m from center) Rear Space 6m Side Space 6m both side Special Guidelines</x:v>
      </x:c>
      <x:c r="G577" s="11" t="str">
        <x:v>candidate_unreviewed</x:v>
      </x:c>
      <x:c r="H577" s="24" t="b">
        <x:v>0</x:v>
      </x:c>
      <x:c r="I577" s="11" t="str">
        <x:v>Keyword extraction only. Read page image and full context before promoting. English search cannot exclude Sinhala/Tamil or image-only content.</x:v>
      </x:c>
    </x:row>
    <x:row r="578" ht="182" customHeight="1">
      <x:c r="A578" s="8" t="str">
        <x:v>C00577</x:v>
      </x:c>
      <x:c r="B578" s="8" t="str">
        <x:v>SRC_0098</x:v>
      </x:c>
      <x:c r="C578" s="8" t="str">
        <x:v>beira_lake-English.pdf</x:v>
      </x:c>
      <x:c r="D578" s="18" t="n">
        <x:v>136</x:v>
      </x:c>
      <x:c r="E578" s="8" t="str">
        <x:v>plot coverage, setbacks</x:v>
      </x:c>
      <x:c r="F578" s="8" t="str">
        <x:v>titutions Minimum Site Extent for Subdivision (Sq.m.) 1500sqm Permissible Height (m) 100m Maximum Plot Coverage (%) Podium 65% Tower 50% Minimum Setbacks (m) Street Line Width 15m (7.5m from center) Building Line Width 24m – Vauxhall Street (12m from center) Rear Space 6m Side Space 6m both side Special Guidelines || (Sq.m.) 1500sqm Permissible Height (m) 100m Maximum Plot Coverage (%) Podium 65% Tower 50% Minimum Setbacks (m) Street Line Width 15m (7.5m from center) Building Line Width 24m – Vauxhall Street (12m from center) Rear Space 6m Side Space 6m both side Special Guidelines</x:v>
      </x:c>
      <x:c r="G578" s="8" t="str">
        <x:v>candidate_unreviewed</x:v>
      </x:c>
      <x:c r="H578" s="21" t="b">
        <x:v>0</x:v>
      </x:c>
      <x:c r="I578" s="8" t="str">
        <x:v>Keyword extraction only. Read page image and full context before promoting. English search cannot exclude Sinhala/Tamil or image-only content.</x:v>
      </x:c>
    </x:row>
    <x:row r="579" ht="196" customHeight="1">
      <x:c r="A579" s="11" t="str">
        <x:v>C00578</x:v>
      </x:c>
      <x:c r="B579" s="11" t="str">
        <x:v>SRC_0098</x:v>
      </x:c>
      <x:c r="C579" s="11" t="str">
        <x:v>beira_lake-English.pdf</x:v>
      </x:c>
      <x:c r="D579" s="22" t="n">
        <x:v>137</x:v>
      </x:c>
      <x:c r="E579" s="11" t="str">
        <x:v>plot coverage, setbacks</x:v>
      </x:c>
      <x:c r="F579" s="11" t="str">
        <x:v>titutions Minimum Site Extent for Subdivision (Sq.m.) 1500sqm Permissible Height (m) 100m Maximum Plot Coverage (%) Podium 65% Tower 50% Minimum Setbacks (m) Building Line Width - Rear Space 10m from Lake Edge (Including 6m Linear Park) Side Space 6m both side Special Guidelines • All lands should be developed as one entity. || (Sq.m.) 1500sqm Permissible Height (m) 100m Maximum Plot Coverage (%) Podium 65% Tower 50% Minimum Setbacks (m) Building Line Width - Rear Space 10m from Lake Edge (Including 6m Linear Park) Side Space 6m both side Special Guidelines • All lands should be developed as one entity.</x:v>
      </x:c>
      <x:c r="G579" s="11" t="str">
        <x:v>candidate_unreviewed</x:v>
      </x:c>
      <x:c r="H579" s="24" t="b">
        <x:v>0</x:v>
      </x:c>
      <x:c r="I579" s="11" t="str">
        <x:v>Keyword extraction only. Read page image and full context before promoting. English search cannot exclude Sinhala/Tamil or image-only content.</x:v>
      </x:c>
    </x:row>
    <x:row r="580" ht="210" customHeight="1">
      <x:c r="A580" s="8" t="str">
        <x:v>C00579</x:v>
      </x:c>
      <x:c r="B580" s="8" t="str">
        <x:v>SRC_0098</x:v>
      </x:c>
      <x:c r="C580" s="8" t="str">
        <x:v>beira_lake-English.pdf</x:v>
      </x:c>
      <x:c r="D580" s="18" t="n">
        <x:v>138</x:v>
      </x:c>
      <x:c r="E580" s="8" t="str">
        <x:v>plot coverage, setbacks</x:v>
      </x:c>
      <x:c r="F580" s="8" t="str">
        <x:v>titutions Minimum Site Extent for Subdivision (Sq.m.) 1500sqm Permissible Height (m) 100m Maximum Plot Coverage (%) Podium 65% Tower 50% Minimum Setbacks (m) Street Line Width 15m (7.5m from center) Building Line Width 24m – Vauxhall Street (12m from center) Rear Space 10m from Lake Edge (Including 6m Linear Park) Side Space 6m both side Special Guidelines || (Sq.m.) 1500sqm Permissible Height (m) 100m Maximum Plot Coverage (%) Podium 65% Tower 50% Minimum Setbacks (m) Street Line Width 15m (7.5m from center) Building Line Width 24m – Vauxhall Street (12m from center) Rear Space 10m from Lake Edge (Including 6m Linear Park) Side Space 6m both side Special Guidelines</x:v>
      </x:c>
      <x:c r="G580" s="8" t="str">
        <x:v>candidate_unreviewed</x:v>
      </x:c>
      <x:c r="H580" s="21" t="b">
        <x:v>0</x:v>
      </x:c>
      <x:c r="I580" s="8" t="str">
        <x:v>Keyword extraction only. Read page image and full context before promoting. English search cannot exclude Sinhala/Tamil or image-only content.</x:v>
      </x:c>
    </x:row>
    <x:row r="581" ht="196" customHeight="1">
      <x:c r="A581" s="11" t="str">
        <x:v>C00580</x:v>
      </x:c>
      <x:c r="B581" s="11" t="str">
        <x:v>SRC_0098</x:v>
      </x:c>
      <x:c r="C581" s="11" t="str">
        <x:v>beira_lake-English.pdf</x:v>
      </x:c>
      <x:c r="D581" s="22" t="n">
        <x:v>139</x:v>
      </x:c>
      <x:c r="E581" s="11" t="str">
        <x:v>plot coverage, setbacks</x:v>
      </x:c>
      <x:c r="F581" s="11" t="str">
        <x:v>titutions Minimum Site Extent for Subdivision (Sq.m.) 1500sqm Permissible Height (m) 100m Maximum Plot Coverage (%) Podium 65% Tower 50% Minimum Setbacks (m) Street Line Width 12.2m (6.1m from center) Building Line Width - Rear Space 10m from Lake Edge (Including 6m Linear Park) Side Space 6m both side Special Guidelines || (Sq.m.) 1500sqm Permissible Height (m) 100m Maximum Plot Coverage (%) Podium 65% Tower 50% Minimum Setbacks (m) Street Line Width 12.2m (6.1m from center) Building Line Width - Rear Space 10m from Lake Edge (Including 6m Linear Park) Side Space 6m both side Special Guidelines</x:v>
      </x:c>
      <x:c r="G581" s="11" t="str">
        <x:v>candidate_unreviewed</x:v>
      </x:c>
      <x:c r="H581" s="24" t="b">
        <x:v>0</x:v>
      </x:c>
      <x:c r="I581" s="11" t="str">
        <x:v>Keyword extraction only. Read page image and full context before promoting. English search cannot exclude Sinhala/Tamil or image-only content.</x:v>
      </x:c>
    </x:row>
    <x:row r="582" ht="168" customHeight="1">
      <x:c r="A582" s="8" t="str">
        <x:v>C00581</x:v>
      </x:c>
      <x:c r="B582" s="8" t="str">
        <x:v>SRC_0098</x:v>
      </x:c>
      <x:c r="C582" s="8" t="str">
        <x:v>beira_lake-English.pdf</x:v>
      </x:c>
      <x:c r="D582" s="18" t="n">
        <x:v>140</x:v>
      </x:c>
      <x:c r="E582" s="8" t="str">
        <x:v>plot coverage, setbacks</x:v>
      </x:c>
      <x:c r="F582" s="8" t="str">
        <x:v>titutions Minimum Site Extent for Subdivision (Sq.m.) 1500sqm Permissible Height (m) 155m Maximum Plot Coverage (%) Podium 65% Tower 50% Minimum Setbacks (m) Street Line Width 12.2m (6.1m from center) Building Line Width - Rear Space 6m Side Space 6m both side Special Guidelines || (Sq.m.) 1500sqm Permissible Height (m) 155m Maximum Plot Coverage (%) Podium 65% Tower 50% Minimum Setbacks (m) Street Line Width 12.2m (6.1m from center) Building Line Width - Rear Space 6m Side Space 6m both side Special Guidelines</x:v>
      </x:c>
      <x:c r="G582" s="8" t="str">
        <x:v>candidate_unreviewed</x:v>
      </x:c>
      <x:c r="H582" s="21" t="b">
        <x:v>0</x:v>
      </x:c>
      <x:c r="I582" s="8" t="str">
        <x:v>Keyword extraction only. Read page image and full context before promoting. English search cannot exclude Sinhala/Tamil or image-only content.</x:v>
      </x:c>
    </x:row>
    <x:row r="583" ht="168" customHeight="1">
      <x:c r="A583" s="11" t="str">
        <x:v>C00582</x:v>
      </x:c>
      <x:c r="B583" s="11" t="str">
        <x:v>SRC_0098</x:v>
      </x:c>
      <x:c r="C583" s="11" t="str">
        <x:v>beira_lake-English.pdf</x:v>
      </x:c>
      <x:c r="D583" s="22" t="n">
        <x:v>141</x:v>
      </x:c>
      <x:c r="E583" s="11" t="str">
        <x:v>plot coverage, setbacks</x:v>
      </x:c>
      <x:c r="F583" s="11" t="str">
        <x:v>titutions Minimum Site Extent for Subdivision (Sq.m.) 1500sqm Permissible Height (m) 145m Maximum Plot Coverage (%) Podium 65% Tower 50% Minimum Setbacks (m) Street Line Width 12.2m (6.1m from center) Building Line Width - Rear Space 6m Side Space 6m both side Special Guidelines || (Sq.m.) 1500sqm Permissible Height (m) 145m Maximum Plot Coverage (%) Podium 65% Tower 50% Minimum Setbacks (m) Street Line Width 12.2m (6.1m from center) Building Line Width - Rear Space 6m Side Space 6m both side Special Guidelines</x:v>
      </x:c>
      <x:c r="G583" s="11" t="str">
        <x:v>candidate_unreviewed</x:v>
      </x:c>
      <x:c r="H583" s="24" t="b">
        <x:v>0</x:v>
      </x:c>
      <x:c r="I583" s="11" t="str">
        <x:v>Keyword extraction only. Read page image and full context before promoting. English search cannot exclude Sinhala/Tamil or image-only content.</x:v>
      </x:c>
    </x:row>
    <x:row r="584" ht="168" customHeight="1">
      <x:c r="A584" s="8" t="str">
        <x:v>C00583</x:v>
      </x:c>
      <x:c r="B584" s="8" t="str">
        <x:v>SRC_0098</x:v>
      </x:c>
      <x:c r="C584" s="8" t="str">
        <x:v>beira_lake-English.pdf</x:v>
      </x:c>
      <x:c r="D584" s="18" t="n">
        <x:v>142</x:v>
      </x:c>
      <x:c r="E584" s="8" t="str">
        <x:v>plot coverage, setbacks</x:v>
      </x:c>
      <x:c r="F584" s="8" t="str">
        <x:v>titutions Minimum Site Extent for Subdivision (Sq.m.) 1500sqm Permissible Height (m) 100m Maximum Plot Coverage (%) Podium 65% Tower 50% Minimum Setbacks (m) Street Line Width 12.2m (6.1m from center) Building Line Width - Rear Space 6m Side Space 6m both side Special Guidelines || (Sq.m.) 1500sqm Permissible Height (m) 100m Maximum Plot Coverage (%) Podium 65% Tower 50% Minimum Setbacks (m) Street Line Width 12.2m (6.1m from center) Building Line Width - Rear Space 6m Side Space 6m both side Special Guidelines</x:v>
      </x:c>
      <x:c r="G584" s="8" t="str">
        <x:v>candidate_unreviewed</x:v>
      </x:c>
      <x:c r="H584" s="21" t="b">
        <x:v>0</x:v>
      </x:c>
      <x:c r="I584" s="8" t="str">
        <x:v>Keyword extraction only. Read page image and full context before promoting. English search cannot exclude Sinhala/Tamil or image-only content.</x:v>
      </x:c>
    </x:row>
    <x:row r="585" ht="196" customHeight="1">
      <x:c r="A585" s="11" t="str">
        <x:v>C00584</x:v>
      </x:c>
      <x:c r="B585" s="11" t="str">
        <x:v>SRC_0098</x:v>
      </x:c>
      <x:c r="C585" s="11" t="str">
        <x:v>beira_lake-English.pdf</x:v>
      </x:c>
      <x:c r="D585" s="22" t="n">
        <x:v>143</x:v>
      </x:c>
      <x:c r="E585" s="11" t="str">
        <x:v>plot coverage, setbacks</x:v>
      </x:c>
      <x:c r="F585" s="11" t="str">
        <x:v>vision (Sq.m.) 1500sqm Permissible Height (m) As per the City of Colombo Development Plan Maximum Plot Coverage (%) Podium 65% Tower 50% Minimum Setbacks (m) Street Line Width 12.2m (6.1m from center) Building Line Width - Rear Space 10m from Lake Edge (Including 6m Linear Park) Side Space 6m both side Special Guidelines || s per the City of Colombo Development Plan Maximum Plot Coverage (%) Podium 65% Tower 50% Minimum Setbacks (m) Street Line Width 12.2m (6.1m from center) Building Line Width - Rear Space 10m from Lake Edge (Including 6m Linear Park) Side Space 6m both side Special Guidelines</x:v>
      </x:c>
      <x:c r="G585" s="11" t="str">
        <x:v>candidate_unreviewed</x:v>
      </x:c>
      <x:c r="H585" s="24" t="b">
        <x:v>0</x:v>
      </x:c>
      <x:c r="I585" s="11" t="str">
        <x:v>Keyword extraction only. Read page image and full context before promoting. English search cannot exclude Sinhala/Tamil or image-only content.</x:v>
      </x:c>
    </x:row>
    <x:row r="586" ht="196" customHeight="1">
      <x:c r="A586" s="8" t="str">
        <x:v>C00585</x:v>
      </x:c>
      <x:c r="B586" s="8" t="str">
        <x:v>SRC_0098</x:v>
      </x:c>
      <x:c r="C586" s="8" t="str">
        <x:v>beira_lake-English.pdf</x:v>
      </x:c>
      <x:c r="D586" s="18" t="n">
        <x:v>144</x:v>
      </x:c>
      <x:c r="E586" s="8" t="str">
        <x:v>plot coverage, setbacks</x:v>
      </x:c>
      <x:c r="F586" s="8" t="str">
        <x:v>vision (Sq.m.) 1500sqm Permissible Height (m) As per the City of Colombo Development Plan Maximum Plot Coverage (%) Podium 65% Tower 50% Minimum Setbacks (m) Street Line Width 12.2m (6.1m from center) Building Line Width - Rear Space 10m from Lake Edge (Including 6m Linear Park) Side Space 6m both side Special Guidelines || s per the City of Colombo Development Plan Maximum Plot Coverage (%) Podium 65% Tower 50% Minimum Setbacks (m) Street Line Width 12.2m (6.1m from center) Building Line Width - Rear Space 10m from Lake Edge (Including 6m Linear Park) Side Space 6m both side Special Guidelines</x:v>
      </x:c>
      <x:c r="G586" s="8" t="str">
        <x:v>candidate_unreviewed</x:v>
      </x:c>
      <x:c r="H586" s="21" t="b">
        <x:v>0</x:v>
      </x:c>
      <x:c r="I586" s="8" t="str">
        <x:v>Keyword extraction only. Read page image and full context before promoting. English search cannot exclude Sinhala/Tamil or image-only content.</x:v>
      </x:c>
    </x:row>
    <x:row r="587" ht="196" customHeight="1">
      <x:c r="A587" s="11" t="str">
        <x:v>C00586</x:v>
      </x:c>
      <x:c r="B587" s="11" t="str">
        <x:v>SRC_0098</x:v>
      </x:c>
      <x:c r="C587" s="11" t="str">
        <x:v>beira_lake-English.pdf</x:v>
      </x:c>
      <x:c r="D587" s="22" t="n">
        <x:v>145</x:v>
      </x:c>
      <x:c r="E587" s="11" t="str">
        <x:v>plot coverage, setbacks</x:v>
      </x:c>
      <x:c r="F587" s="11" t="str">
        <x:v>titutions Minimum Site Extent for Subdivision (Sq.m.) 1500sqm Permissible Height (m) 100m Maximum Plot Coverage (%) Podium 65% Tower 50% Minimum Setbacks (m) Street Line Width 12.2m (6.1m from center) Building Line Width - Rear Space 10m from Lake Edge (Including 6m Linear Park) Side Space 6m both side Special Guidelines || (Sq.m.) 1500sqm Permissible Height (m) 100m Maximum Plot Coverage (%) Podium 65% Tower 50% Minimum Setbacks (m) Street Line Width 12.2m (6.1m from center) Building Line Width - Rear Space 10m from Lake Edge (Including 6m Linear Park) Side Space 6m both side Special Guidelines</x:v>
      </x:c>
      <x:c r="G587" s="11" t="str">
        <x:v>candidate_unreviewed</x:v>
      </x:c>
      <x:c r="H587" s="24" t="b">
        <x:v>0</x:v>
      </x:c>
      <x:c r="I587" s="11" t="str">
        <x:v>Keyword extraction only. Read page image and full context before promoting. English search cannot exclude Sinhala/Tamil or image-only content.</x:v>
      </x:c>
    </x:row>
    <x:row r="588" ht="196" customHeight="1">
      <x:c r="A588" s="8" t="str">
        <x:v>C00587</x:v>
      </x:c>
      <x:c r="B588" s="8" t="str">
        <x:v>SRC_0098</x:v>
      </x:c>
      <x:c r="C588" s="8" t="str">
        <x:v>beira_lake-English.pdf</x:v>
      </x:c>
      <x:c r="D588" s="18" t="n">
        <x:v>146</x:v>
      </x:c>
      <x:c r="E588" s="8" t="str">
        <x:v>plot coverage, setbacks</x:v>
      </x:c>
      <x:c r="F588" s="8" t="str">
        <x:v>titutions Minimum Site Extent for Subdivision (Sq.m.) 1500sqm Permissible Height (m) 100m Maximum Plot Coverage (%) Podium 65% Tower 50% Minimum Setbacks (m) Street Line Width 12.2m (6.1m from center) Building Line Width - Rear Space 10m from Lake Edge (Including 6m Linear Park) Side Space 6m both side Special Guidelines || (Sq.m.) 1500sqm Permissible Height (m) 100m Maximum Plot Coverage (%) Podium 65% Tower 50% Minimum Setbacks (m) Street Line Width 12.2m (6.1m from center) Building Line Width - Rear Space 10m from Lake Edge (Including 6m Linear Park) Side Space 6m both side Special Guidelines</x:v>
      </x:c>
      <x:c r="G588" s="8" t="str">
        <x:v>candidate_unreviewed</x:v>
      </x:c>
      <x:c r="H588" s="21" t="b">
        <x:v>0</x:v>
      </x:c>
      <x:c r="I588" s="8" t="str">
        <x:v>Keyword extraction only. Read page image and full context before promoting. English search cannot exclude Sinhala/Tamil or image-only content.</x:v>
      </x:c>
    </x:row>
    <x:row r="589" ht="210" customHeight="1">
      <x:c r="A589" s="11" t="str">
        <x:v>C00588</x:v>
      </x:c>
      <x:c r="B589" s="11" t="str">
        <x:v>SRC_0098</x:v>
      </x:c>
      <x:c r="C589" s="11" t="str">
        <x:v>beira_lake-English.pdf</x:v>
      </x:c>
      <x:c r="D589" s="22" t="n">
        <x:v>147</x:v>
      </x:c>
      <x:c r="E589" s="11" t="str">
        <x:v>plot coverage, setbacks</x:v>
      </x:c>
      <x:c r="F589" s="11" t="str">
        <x:v>bdivision (Sq.m.) Existing land extent to be maintained as it is Permissible Height (m) 10m Maximum Plot Coverage (%) 05% Minimum Setbacks (m) Street Line Width 12.2m (6.1m from center) Building Line Width 15m - Morgan Road (7.5m from center) Rear Space 10m from Lake Edge (Including 6m Linear Park) Side Space 6m both side Special Guidelines || d extent to be maintained as it is Permissible Height (m) 10m Maximum Plot Coverage (%) 05% Minimum Setbacks (m) Street Line Width 12.2m (6.1m from center) Building Line Width 15m - Morgan Road (7.5m from center) Rear Space 10m from Lake Edge (Including 6m Linear Park) Side Space 6m both side Special Guidelines</x:v>
      </x:c>
      <x:c r="G589" s="11" t="str">
        <x:v>candidate_unreviewed</x:v>
      </x:c>
      <x:c r="H589" s="24" t="b">
        <x:v>0</x:v>
      </x:c>
      <x:c r="I589" s="11" t="str">
        <x:v>Keyword extraction only. Read page image and full context before promoting. English search cannot exclude Sinhala/Tamil or image-only content.</x:v>
      </x:c>
    </x:row>
    <x:row r="590" ht="168" customHeight="1">
      <x:c r="A590" s="8" t="str">
        <x:v>C00589</x:v>
      </x:c>
      <x:c r="B590" s="8" t="str">
        <x:v>SRC_0098</x:v>
      </x:c>
      <x:c r="C590" s="8" t="str">
        <x:v>beira_lake-English.pdf</x:v>
      </x:c>
      <x:c r="D590" s="18" t="n">
        <x:v>148</x:v>
      </x:c>
      <x:c r="E590" s="8" t="str">
        <x:v>plot coverage, setbacks</x:v>
      </x:c>
      <x:c r="F590" s="8" t="str">
        <x:v>vision (Sq.m.) 1500sqm Permissible Height (m) As per the City of Colombo Development Plan Maximum Plot Coverage (%) Podium 65% Tower 50% Minimum Setbacks (m) Street Line Width 12.2m (6.1m from center) Building Line Width - Rear Space 6m Side Space 6m both side Special Guidelines || s per the City of Colombo Development Plan Maximum Plot Coverage (%) Podium 65% Tower 50% Minimum Setbacks (m) Street Line Width 12.2m (6.1m from center) Building Line Width - Rear Space 6m Side Space 6m both side Special Guidelines</x:v>
      </x:c>
      <x:c r="G590" s="8" t="str">
        <x:v>candidate_unreviewed</x:v>
      </x:c>
      <x:c r="H590" s="21" t="b">
        <x:v>0</x:v>
      </x:c>
      <x:c r="I590" s="8" t="str">
        <x:v>Keyword extraction only. Read page image and full context before promoting. English search cannot exclude Sinhala/Tamil or image-only content.</x:v>
      </x:c>
    </x:row>
    <x:row r="591" ht="182" customHeight="1">
      <x:c r="A591" s="11" t="str">
        <x:v>C00590</x:v>
      </x:c>
      <x:c r="B591" s="11" t="str">
        <x:v>SRC_0098</x:v>
      </x:c>
      <x:c r="C591" s="11" t="str">
        <x:v>beira_lake-English.pdf</x:v>
      </x:c>
      <x:c r="D591" s="22" t="n">
        <x:v>149</x:v>
      </x:c>
      <x:c r="E591" s="11" t="str">
        <x:v>plot coverage, setbacks</x:v>
      </x:c>
      <x:c r="F591" s="11" t="str">
        <x:v>titutions Minimum Site Extent for Subdivision (Sq.m.) 1500sqm Permissible Height (m) 100m Maximum Plot Coverage (%) Podium 65% Tower 50% Minimum Setbacks (m) Street Line Width 12.2m (6.1m from center) Building Line Width 15m - Morgan Road (7.5m from center) Rear Space 6m Side Space 6m both side Special Guidelines || (Sq.m.) 1500sqm Permissible Height (m) 100m Maximum Plot Coverage (%) Podium 65% Tower 50% Minimum Setbacks (m) Street Line Width 12.2m (6.1m from center) Building Line Width 15m - Morgan Road (7.5m from center) Rear Space 6m Side Space 6m both side Special Guidelines</x:v>
      </x:c>
      <x:c r="G591" s="11" t="str">
        <x:v>candidate_unreviewed</x:v>
      </x:c>
      <x:c r="H591" s="24" t="b">
        <x:v>0</x:v>
      </x:c>
      <x:c r="I591" s="11" t="str">
        <x:v>Keyword extraction only. Read page image and full context before promoting. English search cannot exclude Sinhala/Tamil or image-only content.</x:v>
      </x:c>
    </x:row>
    <x:row r="592" ht="210" customHeight="1">
      <x:c r="A592" s="8" t="str">
        <x:v>C00591</x:v>
      </x:c>
      <x:c r="B592" s="8" t="str">
        <x:v>SRC_0098</x:v>
      </x:c>
      <x:c r="C592" s="8" t="str">
        <x:v>beira_lake-English.pdf</x:v>
      </x:c>
      <x:c r="D592" s="18" t="n">
        <x:v>150</x:v>
      </x:c>
      <x:c r="E592" s="8" t="str">
        <x:v>plot coverage, setbacks</x:v>
      </x:c>
      <x:c r="F592" s="8" t="str">
        <x:v>titutions Minimum Site Extent for Subdivision (Sq.m.) 1500sqm Permissible Height (m) 100m Maximum Plot Coverage (%) Podium 65% Tower 50% Minimum Setbacks (m) Street Line Width 12.2m (6.1m from center) Building Line Width 15m - Morgan Road (7.5m from center) Rear Space 10m from Lake Edge (Including 6m Linear Park) Side Space 6m both side Special Guidelines || (Sq.m.) 1500sqm Permissible Height (m) 100m Maximum Plot Coverage (%) Podium 65% Tower 50% Minimum Setbacks (m) Street Line Width 12.2m (6.1m from center) Building Line Width 15m - Morgan Road (7.5m from center) Rear Space 10m from Lake Edge (Including 6m Linear Park) Side Space 6m both side Special Guidelines</x:v>
      </x:c>
      <x:c r="G592" s="8" t="str">
        <x:v>candidate_unreviewed</x:v>
      </x:c>
      <x:c r="H592" s="21" t="b">
        <x:v>0</x:v>
      </x:c>
      <x:c r="I592" s="8" t="str">
        <x:v>Keyword extraction only. Read page image and full context before promoting. English search cannot exclude Sinhala/Tamil or image-only content.</x:v>
      </x:c>
    </x:row>
    <x:row r="593" ht="210" customHeight="1">
      <x:c r="A593" s="11" t="str">
        <x:v>C00592</x:v>
      </x:c>
      <x:c r="B593" s="11" t="str">
        <x:v>SRC_0098</x:v>
      </x:c>
      <x:c r="C593" s="11" t="str">
        <x:v>beira_lake-English.pdf</x:v>
      </x:c>
      <x:c r="D593" s="22" t="n">
        <x:v>151</x:v>
      </x:c>
      <x:c r="E593" s="11" t="str">
        <x:v>plot coverage, setbacks</x:v>
      </x:c>
      <x:c r="F593" s="11" t="str">
        <x:v>titutions Minimum Site Extent for Subdivision (Sq.m.) 1500sqm Permissible Height (m) 100m Maximum Plot Coverage (%) Podium 65% Tower 50% Minimum Setbacks (m) Street Line Width 12.2m (6.1m from center) Building Line Width 15m - Morgan Road (7.5m from center) Rear Space 10m from Lake Edge (Including 6m Linear Park) Side Space 6m both side Special Guidelines || (Sq.m.) 1500sqm Permissible Height (m) 100m Maximum Plot Coverage (%) Podium 65% Tower 50% Minimum Setbacks (m) Street Line Width 12.2m (6.1m from center) Building Line Width 15m - Morgan Road (7.5m from center) Rear Space 10m from Lake Edge (Including 6m Linear Park) Side Space 6m both side Special Guidelines</x:v>
      </x:c>
      <x:c r="G593" s="11" t="str">
        <x:v>candidate_unreviewed</x:v>
      </x:c>
      <x:c r="H593" s="24" t="b">
        <x:v>0</x:v>
      </x:c>
      <x:c r="I593" s="11" t="str">
        <x:v>Keyword extraction only. Read page image and full context before promoting. English search cannot exclude Sinhala/Tamil or image-only content.</x:v>
      </x:c>
    </x:row>
    <x:row r="594" ht="196" customHeight="1">
      <x:c r="A594" s="8" t="str">
        <x:v>C00593</x:v>
      </x:c>
      <x:c r="B594" s="8" t="str">
        <x:v>SRC_0098</x:v>
      </x:c>
      <x:c r="C594" s="8" t="str">
        <x:v>beira_lake-English.pdf</x:v>
      </x:c>
      <x:c r="D594" s="18" t="n">
        <x:v>152</x:v>
      </x:c>
      <x:c r="E594" s="8" t="str">
        <x:v>plot coverage, setbacks</x:v>
      </x:c>
      <x:c r="F594" s="8" t="str">
        <x:v>of Colombo Development Plan (If required) • As per the City of Colombo Development Plan Maximum Plot Coverage (%) Podium 65% Tower 50% Minimum Setbacks (m) Street Line Width 12.2m (6.1m from center) Building Line Width 24m – Kumara Rathnam Road (12m from center) Rear Space 6m Side Space 6m both side Special Guidelines || s per the City of Colombo Development Plan Maximum Plot Coverage (%) Podium 65% Tower 50% Minimum Setbacks (m) Street Line Width 12.2m (6.1m from center) Building Line Width 24m – Kumara Rathnam Road (12m from center) Rear Space 6m Side Space 6m both side Special Guidelines</x:v>
      </x:c>
      <x:c r="G594" s="8" t="str">
        <x:v>candidate_unreviewed</x:v>
      </x:c>
      <x:c r="H594" s="21" t="b">
        <x:v>0</x:v>
      </x:c>
      <x:c r="I594" s="8" t="str">
        <x:v>Keyword extraction only. Read page image and full context before promoting. English search cannot exclude Sinhala/Tamil or image-only content.</x:v>
      </x:c>
    </x:row>
    <x:row r="595" ht="210" customHeight="1">
      <x:c r="A595" s="11" t="str">
        <x:v>C00594</x:v>
      </x:c>
      <x:c r="B595" s="11" t="str">
        <x:v>SRC_0098</x:v>
      </x:c>
      <x:c r="C595" s="11" t="str">
        <x:v>beira_lake-English.pdf</x:v>
      </x:c>
      <x:c r="D595" s="22" t="n">
        <x:v>153</x:v>
      </x:c>
      <x:c r="E595" s="11" t="str">
        <x:v>plot coverage, setbacks</x:v>
      </x:c>
      <x:c r="F595" s="11" t="str">
        <x:v>vision (Sq.m.) 1500sqm Permissible Height (m) As per the City of Colombo Development Plan Maximum Plot Coverage (%) Podium 65% Tower 50% Minimum Setbacks (m) Street Line Width 12.2m – Kew Road &amp; Kew Passage (6.1m from center) Building Line Width 24m – Kumara Rathnam Road (12m from center) Rear Space 6m Side Space 6m both side Special Guidelines || s per the City of Colombo Development Plan Maximum Plot Coverage (%) Podium 65% Tower 50% Minimum Setbacks (m) Street Line Width 12.2m – Kew Road &amp; Kew Passage (6.1m from center) Building Line Width 24m – Kumara Rathnam Road (12m from center) Rear Space 6m Side Space 6m both side Special Guidelines</x:v>
      </x:c>
      <x:c r="G595" s="11" t="str">
        <x:v>candidate_unreviewed</x:v>
      </x:c>
      <x:c r="H595" s="24" t="b">
        <x:v>0</x:v>
      </x:c>
      <x:c r="I595" s="11" t="str">
        <x:v>Keyword extraction only. Read page image and full context before promoting. English search cannot exclude Sinhala/Tamil or image-only content.</x:v>
      </x:c>
    </x:row>
    <x:row r="596" ht="210" customHeight="1">
      <x:c r="A596" s="8" t="str">
        <x:v>C00595</x:v>
      </x:c>
      <x:c r="B596" s="8" t="str">
        <x:v>SRC_0098</x:v>
      </x:c>
      <x:c r="C596" s="8" t="str">
        <x:v>beira_lake-English.pdf</x:v>
      </x:c>
      <x:c r="D596" s="18" t="n">
        <x:v>154</x:v>
      </x:c>
      <x:c r="E596" s="8" t="str">
        <x:v>plot coverage, setbacks</x:v>
      </x:c>
      <x:c r="F596" s="8" t="str">
        <x:v>vision (Sq.m.) 1500sqm Permissible Height (m) As per the City of Colombo Development Plan Maximum Plot Coverage (%) Podium 65% Tower 50% Minimum Setbacks (m) Street Line Width 12.2m – Kew Road &amp; Kew Passage (6.1m from center) Building Line Width 24m – Kumara Rathnam Road (12m from center) Rear Space 6m Side Space 6m both side Special Guidelines || s per the City of Colombo Development Plan Maximum Plot Coverage (%) Podium 65% Tower 50% Minimum Setbacks (m) Street Line Width 12.2m – Kew Road &amp; Kew Passage (6.1m from center) Building Line Width 24m – Kumara Rathnam Road (12m from center) Rear Space 6m Side Space 6m both side Special Guidelines</x:v>
      </x:c>
      <x:c r="G596" s="8" t="str">
        <x:v>candidate_unreviewed</x:v>
      </x:c>
      <x:c r="H596" s="21" t="b">
        <x:v>0</x:v>
      </x:c>
      <x:c r="I596" s="8" t="str">
        <x:v>Keyword extraction only. Read page image and full context before promoting. English search cannot exclude Sinhala/Tamil or image-only content.</x:v>
      </x:c>
    </x:row>
    <x:row r="597" ht="210" customHeight="1">
      <x:c r="A597" s="11" t="str">
        <x:v>C00596</x:v>
      </x:c>
      <x:c r="B597" s="11" t="str">
        <x:v>SRC_0098</x:v>
      </x:c>
      <x:c r="C597" s="11" t="str">
        <x:v>beira_lake-English.pdf</x:v>
      </x:c>
      <x:c r="D597" s="22" t="n">
        <x:v>155</x:v>
      </x:c>
      <x:c r="E597" s="11" t="str">
        <x:v>plot coverage, setbacks</x:v>
      </x:c>
      <x:c r="F597" s="11" t="str">
        <x:v>vision (Sq.m.) 1500sqm Permissible Height (m) As per the City of Colombo Development Plan Maximum Plot Coverage (%) Podium 65% Tower 50% Minimum Setbacks (m) Street Line Width 12.2m – Kew Road &amp; Kew Passage (6.1m from center) Building Line Width 24m – Kumara Rathnam Road (12m from center) Rear Space 6m Side Space 6m both side Special Guidelines || s per the City of Colombo Development Plan Maximum Plot Coverage (%) Podium 65% Tower 50% Minimum Setbacks (m) Street Line Width 12.2m – Kew Road &amp; Kew Passage (6.1m from center) Building Line Width 24m – Kumara Rathnam Road (12m from center) Rear Space 6m Side Space 6m both side Special Guidelines</x:v>
      </x:c>
      <x:c r="G597" s="11" t="str">
        <x:v>candidate_unreviewed</x:v>
      </x:c>
      <x:c r="H597" s="24" t="b">
        <x:v>0</x:v>
      </x:c>
      <x:c r="I597" s="11" t="str">
        <x:v>Keyword extraction only. Read page image and full context before promoting. English search cannot exclude Sinhala/Tamil or image-only content.</x:v>
      </x:c>
    </x:row>
    <x:row r="598" ht="266" customHeight="1">
      <x:c r="A598" s="8" t="str">
        <x:v>C00597</x:v>
      </x:c>
      <x:c r="B598" s="8" t="str">
        <x:v>SRC_0098</x:v>
      </x:c>
      <x:c r="C598" s="8" t="str">
        <x:v>beira_lake-English.pdf</x:v>
      </x:c>
      <x:c r="D598" s="18" t="n">
        <x:v>156</x:v>
      </x:c>
      <x:c r="E598" s="8" t="str">
        <x:v>plot coverage, setbacks</x:v>
      </x:c>
      <x:c r="F598" s="8" t="str">
        <x:v>of Colombo Development Plan (If required) • As per the City of Colombo Development Plan Maximum Plot Coverage (%) Podium 65% Tower 50% Minimum Setbacks (m) Street Line Width 12.2m (6.1m from center) Building Line Width 24m – Kumara Rathnam Road (12m from center) 24m – Justice Akbar Mawatha (12m from center) 32m – Malay Street (16m from center) 15m – Sir Henry De Mel Mawatha (7.5m from center) Rear Space 6m Side Space 6m both side Special Guidelines || s per the City of Colombo Development Plan Maximum Plot Coverage (%) Podium 65% Tower 50% Minimum Setbacks (m) Street Line Width 12.2m (6.1m from center) Building Line Width 24m – Kumara Rathnam Road (12m from center) 24m – Justice Akbar Mawatha (12m from center) 32m – Malay Street (16m from center) 15m – Sir Henry De Mel Mawatha (7.5m from center) Rear Space 6m Side Space 6m both side Special Guidelines</x:v>
      </x:c>
      <x:c r="G598" s="8" t="str">
        <x:v>candidate_unreviewed</x:v>
      </x:c>
      <x:c r="H598" s="21" t="b">
        <x:v>0</x:v>
      </x:c>
      <x:c r="I598" s="8" t="str">
        <x:v>Keyword extraction only. Read page image and full context before promoting. English search cannot exclude Sinhala/Tamil or image-only content.</x:v>
      </x:c>
    </x:row>
    <x:row r="599" ht="266" customHeight="1">
      <x:c r="A599" s="11" t="str">
        <x:v>C00598</x:v>
      </x:c>
      <x:c r="B599" s="11" t="str">
        <x:v>SRC_0098</x:v>
      </x:c>
      <x:c r="C599" s="11" t="str">
        <x:v>beira_lake-English.pdf</x:v>
      </x:c>
      <x:c r="D599" s="22" t="n">
        <x:v>157</x:v>
      </x:c>
      <x:c r="E599" s="11" t="str">
        <x:v>plot coverage, setbacks</x:v>
      </x:c>
      <x:c r="F599" s="11" t="str">
        <x:v>vision (Sq.m.) 1500sqm Permissible Height (m) As per the City of Colombo Development Plan Maximum Plot Coverage (%) Podium 65% Tower 50% Minimum Setbacks (m) Street Line Width 12.2m (6.1m from center) Building Line Width 24m – Kumara Rathnam Road (12m from center) 24m – Justice Akbar Mawatha (12m from center) 32m – Malay Street (16m from center) 15m – Sir Henry De Mel Mawatha (7.5m from center) Rear Space 6m Side Space 6m both side Special Guidelines || s per the City of Colombo Development Plan Maximum Plot Coverage (%) Podium 65% Tower 50% Minimum Setbacks (m) Street Line Width 12.2m (6.1m from center) Building Line Width 24m – Kumara Rathnam Road (12m from center) 24m – Justice Akbar Mawatha (12m from center) 32m – Malay Street (16m from center) 15m – Sir Henry De Mel Mawatha (7.5m from center) Rear Space 6m Side Space 6m both side Special Guidelines</x:v>
      </x:c>
      <x:c r="G599" s="11" t="str">
        <x:v>candidate_unreviewed</x:v>
      </x:c>
      <x:c r="H599" s="24" t="b">
        <x:v>0</x:v>
      </x:c>
      <x:c r="I599" s="11" t="str">
        <x:v>Keyword extraction only. Read page image and full context before promoting. English search cannot exclude Sinhala/Tamil or image-only content.</x:v>
      </x:c>
    </x:row>
    <x:row r="600" ht="210" customHeight="1">
      <x:c r="A600" s="8" t="str">
        <x:v>C00599</x:v>
      </x:c>
      <x:c r="B600" s="8" t="str">
        <x:v>SRC_0098</x:v>
      </x:c>
      <x:c r="C600" s="8" t="str">
        <x:v>beira_lake-English.pdf</x:v>
      </x:c>
      <x:c r="D600" s="18" t="n">
        <x:v>158</x:v>
      </x:c>
      <x:c r="E600" s="8" t="str">
        <x:v>plot coverage, setbacks</x:v>
      </x:c>
      <x:c r="F600" s="8" t="str">
        <x:v>vision (Sq.m.) 1500sqm Permissible Height (m) As per the City of Colombo Development Plan Maximum Plot Coverage (%) Podium 65% Tower 50% Minimum Setbacks (m) Street Line Width 12.2m (6.1m from center) Building Line Width 15m – Mew Street (7.5m from center) 32m – Malay Street (16m from center) Rear Space 6m Side Space 6m both side Special Guidelines || s per the City of Colombo Development Plan Maximum Plot Coverage (%) Podium 65% Tower 50% Minimum Setbacks (m) Street Line Width 12.2m (6.1m from center) Building Line Width 15m – Mew Street (7.5m from center) 32m – Malay Street (16m from center) Rear Space 6m Side Space 6m both side Special Guidelines</x:v>
      </x:c>
      <x:c r="G600" s="8" t="str">
        <x:v>candidate_unreviewed</x:v>
      </x:c>
      <x:c r="H600" s="21" t="b">
        <x:v>0</x:v>
      </x:c>
      <x:c r="I600" s="8" t="str">
        <x:v>Keyword extraction only. Read page image and full context before promoting. English search cannot exclude Sinhala/Tamil or image-only content.</x:v>
      </x:c>
    </x:row>
    <x:row r="601" ht="238" customHeight="1">
      <x:c r="A601" s="11" t="str">
        <x:v>C00600</x:v>
      </x:c>
      <x:c r="B601" s="11" t="str">
        <x:v>SRC_0098</x:v>
      </x:c>
      <x:c r="C601" s="11" t="str">
        <x:v>beira_lake-English.pdf</x:v>
      </x:c>
      <x:c r="D601" s="22" t="n">
        <x:v>159</x:v>
      </x:c>
      <x:c r="E601" s="11" t="str">
        <x:v>plot coverage, setbacks</x:v>
      </x:c>
      <x:c r="F601" s="11" t="str">
        <x:v>be maintained as it is Permissible Height (m) As per the City of Colombo Development Plan Maximum Plot Coverage (%) Podium 65% Tower 50% Minimum Setbacks (m) Street Line Width 12.2m (6.1m from center) Building Line Width 15m – Mew Street (7.5m from center) 32m – Malay Street (16m from center) 24m – Kumaran Rathnam Road (12m from center) Rear Space 6m Side Space 6m both side Special Guidelines || s per the City of Colombo Development Plan Maximum Plot Coverage (%) Podium 65% Tower 50% Minimum Setbacks (m) Street Line Width 12.2m (6.1m from center) Building Line Width 15m – Mew Street (7.5m from center) 32m – Malay Street (16m from center) 24m – Kumaran Rathnam Road (12m from center) Rear Space 6m Side Space 6m both side Special Guidelines</x:v>
      </x:c>
      <x:c r="G601" s="11" t="str">
        <x:v>candidate_unreviewed</x:v>
      </x:c>
      <x:c r="H601" s="24" t="b">
        <x:v>0</x:v>
      </x:c>
      <x:c r="I601" s="11" t="str">
        <x:v>Keyword extraction only. Read page image and full context before promoting. English search cannot exclude Sinhala/Tamil or image-only content.</x:v>
      </x:c>
    </x:row>
    <x:row r="602" ht="210" customHeight="1">
      <x:c r="A602" s="8" t="str">
        <x:v>C00601</x:v>
      </x:c>
      <x:c r="B602" s="8" t="str">
        <x:v>SRC_0098</x:v>
      </x:c>
      <x:c r="C602" s="8" t="str">
        <x:v>beira_lake-English.pdf</x:v>
      </x:c>
      <x:c r="D602" s="18" t="n">
        <x:v>160</x:v>
      </x:c>
      <x:c r="E602" s="8" t="str">
        <x:v>plot coverage, setbacks</x:v>
      </x:c>
      <x:c r="F602" s="8" t="str">
        <x:v>vision (Sq.m.) 1500sqm Permissible Height (m) As per the City of Colombo Development Plan Maximum Plot Coverage (%) Podium 65% Tower 50% Minimum Setbacks (m) Street Line Width 12.2m (6.1m from center) Building Line Width 12.2m – Kew Point Road (6.1m from center) 24m – Kumaran Rathnam Road (12m from center) Rear Space 6m Side Space 6m both side Special Guidelines || s per the City of Colombo Development Plan Maximum Plot Coverage (%) Podium 65% Tower 50% Minimum Setbacks (m) Street Line Width 12.2m (6.1m from center) Building Line Width 12.2m – Kew Point Road (6.1m from center) 24m – Kumaran Rathnam Road (12m from center) Rear Space 6m Side Space 6m both side Special Guidelines</x:v>
      </x:c>
      <x:c r="G602" s="8" t="str">
        <x:v>candidate_unreviewed</x:v>
      </x:c>
      <x:c r="H602" s="21" t="b">
        <x:v>0</x:v>
      </x:c>
      <x:c r="I602" s="8" t="str">
        <x:v>Keyword extraction only. Read page image and full context before promoting. English search cannot exclude Sinhala/Tamil or image-only content.</x:v>
      </x:c>
    </x:row>
    <x:row r="603" ht="182" customHeight="1">
      <x:c r="A603" s="11" t="str">
        <x:v>C00602</x:v>
      </x:c>
      <x:c r="B603" s="11" t="str">
        <x:v>SRC_0098</x:v>
      </x:c>
      <x:c r="C603" s="11" t="str">
        <x:v>beira_lake-English.pdf</x:v>
      </x:c>
      <x:c r="D603" s="22" t="n">
        <x:v>161</x:v>
      </x:c>
      <x:c r="E603" s="11" t="str">
        <x:v>plot coverage, setbacks</x:v>
      </x:c>
      <x:c r="F603" s="11" t="str">
        <x:v>vision (Sq.m.) 1500sqm Permissible Height (m) As per the City of Colombo Development Plan Maximum Plot Coverage (%) Podium 65% Tower 50% Minimum Setbacks (m) Street Line Width 12.2m (6.1m from center) Building Line Width 12.2m – Kew Point Road (6.1m from center) Rear Space 6m Side Space 6m both side Special Guidelines || s per the City of Colombo Development Plan Maximum Plot Coverage (%) Podium 65% Tower 50% Minimum Setbacks (m) Street Line Width 12.2m (6.1m from center) Building Line Width 12.2m – Kew Point Road (6.1m from center) Rear Space 6m Side Space 6m both side Special Guidelines</x:v>
      </x:c>
      <x:c r="G603" s="11" t="str">
        <x:v>candidate_unreviewed</x:v>
      </x:c>
      <x:c r="H603" s="24" t="b">
        <x:v>0</x:v>
      </x:c>
      <x:c r="I603" s="11" t="str">
        <x:v>Keyword extraction only. Read page image and full context before promoting. English search cannot exclude Sinhala/Tamil or image-only content.</x:v>
      </x:c>
    </x:row>
    <x:row r="604" ht="182" customHeight="1">
      <x:c r="A604" s="8" t="str">
        <x:v>C00603</x:v>
      </x:c>
      <x:c r="B604" s="8" t="str">
        <x:v>SRC_0098</x:v>
      </x:c>
      <x:c r="C604" s="8" t="str">
        <x:v>beira_lake-English.pdf</x:v>
      </x:c>
      <x:c r="D604" s="18" t="n">
        <x:v>162</x:v>
      </x:c>
      <x:c r="E604" s="8" t="str">
        <x:v>plot coverage, setbacks</x:v>
      </x:c>
      <x:c r="F604" s="8" t="str">
        <x:v>titutions Minimum Site Extent for Subdivision (Sq.m.) 1500sqm Permissible Height (m) 100m Maximum Plot Coverage (%) Podium 65% Tower 50% Minimum Setbacks (m) Street Line Width 12.2m (6.1m from center) Rear Space 10m from Lake Edge (Including 6m Linear Park) Side Space 6m both side Special Guidelines || (Sq.m.) 1500sqm Permissible Height (m) 100m Maximum Plot Coverage (%) Podium 65% Tower 50% Minimum Setbacks (m) Street Line Width 12.2m (6.1m from center) Rear Space 10m from Lake Edge (Including 6m Linear Park) Side Space 6m both side Special Guidelines</x:v>
      </x:c>
      <x:c r="G604" s="8" t="str">
        <x:v>candidate_unreviewed</x:v>
      </x:c>
      <x:c r="H604" s="21" t="b">
        <x:v>0</x:v>
      </x:c>
      <x:c r="I604" s="8" t="str">
        <x:v>Keyword extraction only. Read page image and full context before promoting. English search cannot exclude Sinhala/Tamil or image-only content.</x:v>
      </x:c>
    </x:row>
    <x:row r="605" ht="196" customHeight="1">
      <x:c r="A605" s="11" t="str">
        <x:v>C00604</x:v>
      </x:c>
      <x:c r="B605" s="11" t="str">
        <x:v>SRC_0098</x:v>
      </x:c>
      <x:c r="C605" s="11" t="str">
        <x:v>beira_lake-English.pdf</x:v>
      </x:c>
      <x:c r="D605" s="22" t="n">
        <x:v>163</x:v>
      </x:c>
      <x:c r="E605" s="11" t="str">
        <x:v>plot coverage, setbacks</x:v>
      </x:c>
      <x:c r="F605" s="11" t="str">
        <x:v>e Height (m) 100m (60m from Lake Edge) &amp; rest as per the City of Colombo Development Plan Maximum Plot Coverage (%) Podium 65% Tower 50% Minimum Setbacks (m) Building Line Width 24m – Kumaran Rathnam Road (12m from center) Rear Space 10m from Lake Edge (Including 6m Linear Park) Side Space 6m both side Special Guidelines || s per the City of Colombo Development Plan Maximum Plot Coverage (%) Podium 65% Tower 50% Minimum Setbacks (m) Building Line Width 24m – Kumaran Rathnam Road (12m from center) Rear Space 10m from Lake Edge (Including 6m Linear Park) Side Space 6m both side Special Guidelines</x:v>
      </x:c>
      <x:c r="G605" s="11" t="str">
        <x:v>candidate_unreviewed</x:v>
      </x:c>
      <x:c r="H605" s="24" t="b">
        <x:v>0</x:v>
      </x:c>
      <x:c r="I605" s="11" t="str">
        <x:v>Keyword extraction only. Read page image and full context before promoting. English search cannot exclude Sinhala/Tamil or image-only content.</x:v>
      </x:c>
    </x:row>
    <x:row r="606" ht="196" customHeight="1">
      <x:c r="A606" s="8" t="str">
        <x:v>C00605</x:v>
      </x:c>
      <x:c r="B606" s="8" t="str">
        <x:v>SRC_0098</x:v>
      </x:c>
      <x:c r="C606" s="8" t="str">
        <x:v>beira_lake-English.pdf</x:v>
      </x:c>
      <x:c r="D606" s="18" t="n">
        <x:v>164</x:v>
      </x:c>
      <x:c r="E606" s="8" t="str">
        <x:v>plot coverage, setbacks</x:v>
      </x:c>
      <x:c r="F606" s="8" t="str">
        <x:v>le Height (m) 100m (60m from Lake Edge) &amp; rest as per the City of Colombo Development Plan Maximum Plot Coverage (%) Podium 65% Tower 50% Minimum Setbacks (m) Building Line Width 36m- Sir Chittampalan A. Gardinier Road (18m from center) Rear Space 10m from Lake Edge (Including 6m Linear Park) Side Space 6m both side Special Guidelines || as per the City of Colombo Development Plan Maximum Plot Coverage (%) Podium 65% Tower 50% Minimum Setbacks (m) Building Line Width 36m- Sir Chittampalan A. Gardinier Road (18m from center) Rear Space 10m from Lake Edge (Including 6m Linear Park) Side Space 6m both side Special Guidelines</x:v>
      </x:c>
      <x:c r="G606" s="8" t="str">
        <x:v>candidate_unreviewed</x:v>
      </x:c>
      <x:c r="H606" s="21" t="b">
        <x:v>0</x:v>
      </x:c>
      <x:c r="I606" s="8" t="str">
        <x:v>Keyword extraction only. Read page image and full context before promoting. English search cannot exclude Sinhala/Tamil or image-only content.</x:v>
      </x:c>
    </x:row>
    <x:row r="607" ht="182" customHeight="1">
      <x:c r="A607" s="11" t="str">
        <x:v>C00606</x:v>
      </x:c>
      <x:c r="B607" s="11" t="str">
        <x:v>SRC_0098</x:v>
      </x:c>
      <x:c r="C607" s="11" t="str">
        <x:v>beira_lake-English.pdf</x:v>
      </x:c>
      <x:c r="D607" s="22" t="n">
        <x:v>165</x:v>
      </x:c>
      <x:c r="E607" s="11" t="str">
        <x:v>plot coverage, setbacks</x:v>
      </x:c>
      <x:c r="F607" s="11" t="str">
        <x:v>titutions Minimum Site Extent for Subdivision (Sq.m.) 1500sqm Permissible Height (m) 100m Maximum Plot Coverage (%) Podium 65% Tower 50% Minimum Setbacks (m) Street Line Width 12.2m (6.1m from center) Rear Space 10m from Lake Edge (Including 6m Linear Park) Side Space 6m both side Special Guidelines || (Sq.m.) 1500sqm Permissible Height (m) 100m Maximum Plot Coverage (%) Podium 65% Tower 50% Minimum Setbacks (m) Street Line Width 12.2m (6.1m from center) Rear Space 10m from Lake Edge (Including 6m Linear Park) Side Space 6m both side Special Guidelines</x:v>
      </x:c>
      <x:c r="G607" s="11" t="str">
        <x:v>candidate_unreviewed</x:v>
      </x:c>
      <x:c r="H607" s="24" t="b">
        <x:v>0</x:v>
      </x:c>
      <x:c r="I607" s="11" t="str">
        <x:v>Keyword extraction only. Read page image and full context before promoting. English search cannot exclude Sinhala/Tamil or image-only content.</x:v>
      </x:c>
    </x:row>
    <x:row r="608" ht="182" customHeight="1">
      <x:c r="A608" s="8" t="str">
        <x:v>C00607</x:v>
      </x:c>
      <x:c r="B608" s="8" t="str">
        <x:v>SRC_0098</x:v>
      </x:c>
      <x:c r="C608" s="8" t="str">
        <x:v>beira_lake-English.pdf</x:v>
      </x:c>
      <x:c r="D608" s="18" t="n">
        <x:v>166</x:v>
      </x:c>
      <x:c r="E608" s="8" t="str">
        <x:v>plot coverage, setbacks</x:v>
      </x:c>
      <x:c r="F608" s="8" t="str">
        <x:v>titutions Minimum Site Extent for Subdivision (Sq.m.) 1500sqm Permissible Height (m) 100m Maximum Plot Coverage (%) Podium 65% Tower 50% Minimum Setbacks (m) Street Line Width 12.2m (6.1m from center) Rear Space 10m from Lake Edge (Including 6m Linear Park) Side Space 6m both side Special Guidelines || (Sq.m.) 1500sqm Permissible Height (m) 100m Maximum Plot Coverage (%) Podium 65% Tower 50% Minimum Setbacks (m) Street Line Width 12.2m (6.1m from center) Rear Space 10m from Lake Edge (Including 6m Linear Park) Side Space 6m both side Special Guidelines</x:v>
      </x:c>
      <x:c r="G608" s="8" t="str">
        <x:v>candidate_unreviewed</x:v>
      </x:c>
      <x:c r="H608" s="21" t="b">
        <x:v>0</x:v>
      </x:c>
      <x:c r="I608" s="8" t="str">
        <x:v>Keyword extraction only. Read page image and full context before promoting. English search cannot exclude Sinhala/Tamil or image-only content.</x:v>
      </x:c>
    </x:row>
    <x:row r="609" ht="182" customHeight="1">
      <x:c r="A609" s="11" t="str">
        <x:v>C00608</x:v>
      </x:c>
      <x:c r="B609" s="11" t="str">
        <x:v>SRC_0098</x:v>
      </x:c>
      <x:c r="C609" s="11" t="str">
        <x:v>beira_lake-English.pdf</x:v>
      </x:c>
      <x:c r="D609" s="22" t="n">
        <x:v>167</x:v>
      </x:c>
      <x:c r="E609" s="11" t="str">
        <x:v>plot coverage, setbacks</x:v>
      </x:c>
      <x:c r="F609" s="11" t="str">
        <x:v>titutions Minimum Site Extent for Subdivision (Sq.m.) 1500sqm Permissible Height (m) 100m Maximum Plot Coverage (%) Podium 65% Tower 50% Minimum Setbacks (m) Street Line Width 12.2m (6.1m from center) Rear Space 10m from Lake Edge (Including 6m Linear Park) Side Space 6m both side Special Guidelines || (Sq.m.) 1500sqm Permissible Height (m) 100m Maximum Plot Coverage (%) Podium 65% Tower 50% Minimum Setbacks (m) Street Line Width 12.2m (6.1m from center) Rear Space 10m from Lake Edge (Including 6m Linear Park) Side Space 6m both side Special Guidelines</x:v>
      </x:c>
      <x:c r="G609" s="11" t="str">
        <x:v>candidate_unreviewed</x:v>
      </x:c>
      <x:c r="H609" s="24" t="b">
        <x:v>0</x:v>
      </x:c>
      <x:c r="I609" s="11" t="str">
        <x:v>Keyword extraction only. Read page image and full context before promoting. English search cannot exclude Sinhala/Tamil or image-only content.</x:v>
      </x:c>
    </x:row>
    <x:row r="610" ht="182" customHeight="1">
      <x:c r="A610" s="8" t="str">
        <x:v>C00609</x:v>
      </x:c>
      <x:c r="B610" s="8" t="str">
        <x:v>SRC_0098</x:v>
      </x:c>
      <x:c r="C610" s="8" t="str">
        <x:v>beira_lake-English.pdf</x:v>
      </x:c>
      <x:c r="D610" s="18" t="n">
        <x:v>168</x:v>
      </x:c>
      <x:c r="E610" s="8" t="str">
        <x:v>plot coverage, setbacks</x:v>
      </x:c>
      <x:c r="F610" s="8" t="str">
        <x:v>titutions Minimum Site Extent for Subdivision (Sq.m.) 1500sqm Permissible Height (m) 100m Maximum Plot Coverage (%) Podium 65% Tower 50% Minimum Setbacks (m) Street Line Width 12.2m (6.1m from center) Rear Space 10m from Lake Edge (Including 6m Linear Park) Side Space 6m both side Special Guidelines || (Sq.m.) 1500sqm Permissible Height (m) 100m Maximum Plot Coverage (%) Podium 65% Tower 50% Minimum Setbacks (m) Street Line Width 12.2m (6.1m from center) Rear Space 10m from Lake Edge (Including 6m Linear Park) Side Space 6m both side Special Guidelines</x:v>
      </x:c>
      <x:c r="G610" s="8" t="str">
        <x:v>candidate_unreviewed</x:v>
      </x:c>
      <x:c r="H610" s="21" t="b">
        <x:v>0</x:v>
      </x:c>
      <x:c r="I610" s="8" t="str">
        <x:v>Keyword extraction only. Read page image and full context before promoting. English search cannot exclude Sinhala/Tamil or image-only content.</x:v>
      </x:c>
    </x:row>
    <x:row r="611" ht="168" customHeight="1">
      <x:c r="A611" s="11" t="str">
        <x:v>C00610</x:v>
      </x:c>
      <x:c r="B611" s="11" t="str">
        <x:v>SRC_0098</x:v>
      </x:c>
      <x:c r="C611" s="11" t="str">
        <x:v>beira_lake-English.pdf</x:v>
      </x:c>
      <x:c r="D611" s="22" t="n">
        <x:v>169</x:v>
      </x:c>
      <x:c r="E611" s="11" t="str">
        <x:v>plot coverage, setbacks</x:v>
      </x:c>
      <x:c r="F611" s="11" t="str">
        <x:v>Activities Minimum Site Extent for Subdivision (Sq.m.) 1500sqm Permissible Height (m) 10m Maximum Plot Coverage (%) 05% Minimum Setbacks (m) Street Line Width 12.2m (6.1m from center) Rear Space 10m from Lake Edge (Including 6m Linear Park) Side Space 6m both side Special Guidelines || for Subdivision (Sq.m.) 1500sqm Permissible Height (m) 10m Maximum Plot Coverage (%) 05% Minimum Setbacks (m) Street Line Width 12.2m (6.1m from center) Rear Space 10m from Lake Edge (Including 6m Linear Park) Side Space 6m both side Special Guidelines</x:v>
      </x:c>
      <x:c r="G611" s="11" t="str">
        <x:v>candidate_unreviewed</x:v>
      </x:c>
      <x:c r="H611" s="24" t="b">
        <x:v>0</x:v>
      </x:c>
      <x:c r="I611" s="11" t="str">
        <x:v>Keyword extraction only. Read page image and full context before promoting. English search cannot exclude Sinhala/Tamil or image-only content.</x:v>
      </x:c>
    </x:row>
    <x:row r="612" ht="252" customHeight="1">
      <x:c r="A612" s="8" t="str">
        <x:v>C00611</x:v>
      </x:c>
      <x:c r="B612" s="8" t="str">
        <x:v>SRC_0098</x:v>
      </x:c>
      <x:c r="C612" s="8" t="str">
        <x:v>beira_lake-English.pdf</x:v>
      </x:c>
      <x:c r="D612" s="18" t="n">
        <x:v>170</x:v>
      </x:c>
      <x:c r="E612" s="8" t="str">
        <x:v>plot coverage, setbacks</x:v>
      </x:c>
      <x:c r="F612" s="8" t="str">
        <x:v>vision (Sq.m.) 1500sqm Permissible Height (m) As per the City of Colombo Development Plan Maximum Plot Coverage (%) Podium 65% Tower 50% Minimum Setbacks (m) Street Line Width 12.2m (6.1m from center) - for Proposed Road Building Line Width 36m – Sir Chittampalan A Gardiniar Mawatha (18m from center) Rear Space 6m Side Space 10m from lake edge at lake side including 6m linear park. 6m at other side. Special Guidelines || s per the City of Colombo Development Plan Maximum Plot Coverage (%) Podium 65% Tower 50% Minimum Setbacks (m) Street Line Width 12.2m (6.1m from center) - for Proposed Road Building Line Width 36m – Sir Chittampalan A Gardiniar Mawatha (18m from center) Rear Space 6m Side Space 10m from lake edge at lake side including 6m linear park. 6m at other side. Special Guidelines</x:v>
      </x:c>
      <x:c r="G612" s="8" t="str">
        <x:v>candidate_unreviewed</x:v>
      </x:c>
      <x:c r="H612" s="21" t="b">
        <x:v>0</x:v>
      </x:c>
      <x:c r="I612" s="8" t="str">
        <x:v>Keyword extraction only. Read page image and full context before promoting. English search cannot exclude Sinhala/Tamil or image-only content.</x:v>
      </x:c>
    </x:row>
    <x:row r="613" ht="182" customHeight="1">
      <x:c r="A613" s="11" t="str">
        <x:v>C00612</x:v>
      </x:c>
      <x:c r="B613" s="11" t="str">
        <x:v>SRC_0098</x:v>
      </x:c>
      <x:c r="C613" s="11" t="str">
        <x:v>beira_lake-English.pdf</x:v>
      </x:c>
      <x:c r="D613" s="22" t="n">
        <x:v>171</x:v>
      </x:c>
      <x:c r="E613" s="11" t="str">
        <x:v>plot coverage, setbacks</x:v>
      </x:c>
      <x:c r="F613" s="11" t="str">
        <x:v>vision (Sq.m.) 1500sqm Permissible Height (m) As per the City of Colombo Development Plan Maximum Plot Coverage (%) Podium 65% Tower 50% Minimum Setbacks (m) Building Line Width 36m – Sir Chittampalan A Gardiniar Mawatha (18m from center) Rear Space 6m Side Space 6m both side Special Guidelines || s per the City of Colombo Development Plan Maximum Plot Coverage (%) Podium 65% Tower 50% Minimum Setbacks (m) Building Line Width 36m – Sir Chittampalan A Gardiniar Mawatha (18m from center) Rear Space 6m Side Space 6m both side Special Guidelines</x:v>
      </x:c>
      <x:c r="G613" s="11" t="str">
        <x:v>candidate_unreviewed</x:v>
      </x:c>
      <x:c r="H613" s="24" t="b">
        <x:v>0</x:v>
      </x:c>
      <x:c r="I613" s="11" t="str">
        <x:v>Keyword extraction only. Read page image and full context before promoting. English search cannot exclude Sinhala/Tamil or image-only content.</x:v>
      </x:c>
    </x:row>
    <x:row r="614" ht="182" customHeight="1">
      <x:c r="A614" s="8" t="str">
        <x:v>C00613</x:v>
      </x:c>
      <x:c r="B614" s="8" t="str">
        <x:v>SRC_0098</x:v>
      </x:c>
      <x:c r="C614" s="8" t="str">
        <x:v>beira_lake-English.pdf</x:v>
      </x:c>
      <x:c r="D614" s="18" t="n">
        <x:v>172</x:v>
      </x:c>
      <x:c r="E614" s="8" t="str">
        <x:v>plot coverage, setbacks</x:v>
      </x:c>
      <x:c r="F614" s="8" t="str">
        <x:v>ivision (Sq.m.) 1500sqm Permissible Height (m) As per the City of Colombo Development Plan Maximum Plot Coverage (%) Podium 65% Tower 50% Minimum Setbacks (m) Building Line Width 36m – Sir Chittampalan A Gardiniar Mawatha (18m from center) Rear Space 6m Side Space 6m both side Special Guidelines || As per the City of Colombo Development Plan Maximum Plot Coverage (%) Podium 65% Tower 50% Minimum Setbacks (m) Building Line Width 36m – Sir Chittampalan A Gardiniar Mawatha (18m from center) Rear Space 6m Side Space 6m both side Special Guidelines</x:v>
      </x:c>
      <x:c r="G614" s="8" t="str">
        <x:v>candidate_unreviewed</x:v>
      </x:c>
      <x:c r="H614" s="21" t="b">
        <x:v>0</x:v>
      </x:c>
      <x:c r="I614" s="8" t="str">
        <x:v>Keyword extraction only. Read page image and full context before promoting. English search cannot exclude Sinhala/Tamil or image-only content.</x:v>
      </x:c>
    </x:row>
    <x:row r="615" ht="210" customHeight="1">
      <x:c r="A615" s="11" t="str">
        <x:v>C00614</x:v>
      </x:c>
      <x:c r="B615" s="11" t="str">
        <x:v>SRC_0098</x:v>
      </x:c>
      <x:c r="C615" s="11" t="str">
        <x:v>beira_lake-English.pdf</x:v>
      </x:c>
      <x:c r="D615" s="22" t="n">
        <x:v>173</x:v>
      </x:c>
      <x:c r="E615" s="11" t="str">
        <x:v>plot coverage, setbacks</x:v>
      </x:c>
      <x:c r="F615" s="11" t="str">
        <x:v>ivision (Sq.m.) 1500sqm Permissible Height (m) As per the City of Colombo Development Plan Maximum Plot Coverage (%) Podium 65% Tower 50% Minimum Setbacks (m) Building Line Width 36m – Sir Chittampalan A Gardiniar Mawatha (18m from center) Rear Space 6m Side Space 10m from lake edge at lake side including 6m linear park. 6m at other side. Special Guidelines || As per the City of Colombo Development Plan Maximum Plot Coverage (%) Podium 65% Tower 50% Minimum Setbacks (m) Building Line Width 36m – Sir Chittampalan A Gardiniar Mawatha (18m from center) Rear Space 6m Side Space 10m from lake edge at lake side including 6m linear park. 6m at other side. Special Guidelines</x:v>
      </x:c>
      <x:c r="G615" s="11" t="str">
        <x:v>candidate_unreviewed</x:v>
      </x:c>
      <x:c r="H615" s="24" t="b">
        <x:v>0</x:v>
      </x:c>
      <x:c r="I615" s="11" t="str">
        <x:v>Keyword extraction only. Read page image and full context before promoting. English search cannot exclude Sinhala/Tamil or image-only content.</x:v>
      </x:c>
    </x:row>
    <x:row r="616" ht="168" customHeight="1">
      <x:c r="A616" s="8" t="str">
        <x:v>C00615</x:v>
      </x:c>
      <x:c r="B616" s="8" t="str">
        <x:v>SRC_0098</x:v>
      </x:c>
      <x:c r="C616" s="8" t="str">
        <x:v>beira_lake-English.pdf</x:v>
      </x:c>
      <x:c r="D616" s="18" t="n">
        <x:v>174</x:v>
      </x:c>
      <x:c r="E616" s="8" t="str">
        <x:v>plot coverage, setbacks</x:v>
      </x:c>
      <x:c r="F616" s="8" t="str">
        <x:v>division (Sq.m.) 1500sqm Permissible Height (m) As per the City of Colombo Development Plan Maximum Plot Coverage (%) Podium 65% Tower 50% Minimum Setbacks (m) Building Line Width 36m – Sir Chittampalan A Gardiniar Mawatha (18m from center) Rear Space 6m Side Space 6m Special Guidelines || As per the City of Colombo Development Plan Maximum Plot Coverage (%) Podium 65% Tower 50% Minimum Setbacks (m) Building Line Width 36m – Sir Chittampalan A Gardiniar Mawatha (18m from center) Rear Space 6m Side Space 6m Special Guidelines</x:v>
      </x:c>
      <x:c r="G616" s="8" t="str">
        <x:v>candidate_unreviewed</x:v>
      </x:c>
      <x:c r="H616" s="21" t="b">
        <x:v>0</x:v>
      </x:c>
      <x:c r="I616" s="8" t="str">
        <x:v>Keyword extraction only. Read page image and full context before promoting. English search cannot exclude Sinhala/Tamil or image-only content.</x:v>
      </x:c>
    </x:row>
    <x:row r="617" ht="210" customHeight="1">
      <x:c r="A617" s="11" t="str">
        <x:v>C00616</x:v>
      </x:c>
      <x:c r="B617" s="11" t="str">
        <x:v>SRC_0098</x:v>
      </x:c>
      <x:c r="C617" s="11" t="str">
        <x:v>beira_lake-English.pdf</x:v>
      </x:c>
      <x:c r="D617" s="22" t="n">
        <x:v>175</x:v>
      </x:c>
      <x:c r="E617" s="11" t="str">
        <x:v>plot coverage, setbacks</x:v>
      </x:c>
      <x:c r="F617" s="11" t="str">
        <x:v>division (Sq.m.) 1500sqm Permissible Height (m) As per the City of Colombo Development Plan Maximum Plot Coverage (%) Podium 65% Tower 50% Minimum Setbacks (m) Street Line Width 12.2m (6.1m from center) - for Proposed Road Building Line Width 36m – Sir Chittampalan A Gardiniar Mawatha (18m from center) Rear Space 6m Side Space 6m Special Guidelines || As per the City of Colombo Development Plan Maximum Plot Coverage (%) Podium 65% Tower 50% Minimum Setbacks (m) Street Line Width 12.2m (6.1m from center) - for Proposed Road Building Line Width 36m – Sir Chittampalan A Gardiniar Mawatha (18m from center) Rear Space 6m Side Space 6m Special Guidelines</x:v>
      </x:c>
      <x:c r="G617" s="11" t="str">
        <x:v>candidate_unreviewed</x:v>
      </x:c>
      <x:c r="H617" s="24" t="b">
        <x:v>0</x:v>
      </x:c>
      <x:c r="I617" s="11" t="str">
        <x:v>Keyword extraction only. Read page image and full context before promoting. English search cannot exclude Sinhala/Tamil or image-only content.</x:v>
      </x:c>
    </x:row>
    <x:row r="618" ht="210" customHeight="1">
      <x:c r="A618" s="8" t="str">
        <x:v>C00617</x:v>
      </x:c>
      <x:c r="B618" s="8" t="str">
        <x:v>SRC_0098</x:v>
      </x:c>
      <x:c r="C618" s="8" t="str">
        <x:v>beira_lake-English.pdf</x:v>
      </x:c>
      <x:c r="D618" s="18" t="n">
        <x:v>176</x:v>
      </x:c>
      <x:c r="E618" s="8" t="str">
        <x:v>plot coverage, setbacks</x:v>
      </x:c>
      <x:c r="F618" s="8" t="str">
        <x:v>ivision (Sq.m.) 1500sqm Permissible Height (m) As per the City of Colombo Development Plan Maximum Plot Coverage (%) Podium 65% Tower 50% Minimum Setbacks (m) Street Line Width 12.2m (6.1m from center) - for Proposed Road Building Line Width 36m – Sir Chittampalan A Gardiniar Mawatha (18m from center) Rear Space 6m Side Space 6m Special Guidelines || As per the City of Colombo Development Plan Maximum Plot Coverage (%) Podium 65% Tower 50% Minimum Setbacks (m) Street Line Width 12.2m (6.1m from center) - for Proposed Road Building Line Width 36m – Sir Chittampalan A Gardiniar Mawatha (18m from center) Rear Space 6m Side Space 6m Special Guidelines</x:v>
      </x:c>
      <x:c r="G618" s="8" t="str">
        <x:v>candidate_unreviewed</x:v>
      </x:c>
      <x:c r="H618" s="21" t="b">
        <x:v>0</x:v>
      </x:c>
      <x:c r="I618" s="8" t="str">
        <x:v>Keyword extraction only. Read page image and full context before promoting. English search cannot exclude Sinhala/Tamil or image-only content.</x:v>
      </x:c>
    </x:row>
    <x:row r="619" ht="196" customHeight="1">
      <x:c r="A619" s="11" t="str">
        <x:v>C00618</x:v>
      </x:c>
      <x:c r="B619" s="11" t="str">
        <x:v>SRC_0098</x:v>
      </x:c>
      <x:c r="C619" s="11" t="str">
        <x:v>beira_lake-English.pdf</x:v>
      </x:c>
      <x:c r="D619" s="22" t="n">
        <x:v>177</x:v>
      </x:c>
      <x:c r="E619" s="11" t="str">
        <x:v>plot coverage, setbacks</x:v>
      </x:c>
      <x:c r="F619" s="11" t="str">
        <x:v>division (Sq.m.) 1500sqm Permissible Height (m) As per the City of Colombo Development Plan Maximum Plot Coverage (%) Podium 65% Tower 50% Minimum Setbacks (m) Building Line Width 36m – Sir Chittampalan A Gardiniar Mawatha (18m from center) Rear Space 6m Side Space 6m Special Guidelines • 06m wide view corridor to be maintained. || As per the City of Colombo Development Plan Maximum Plot Coverage (%) Podium 65% Tower 50% Minimum Setbacks (m) Building Line Width 36m – Sir Chittampalan A Gardiniar Mawatha (18m from center) Rear Space 6m Side Space 6m Special Guidelines • 06m wide view corridor to be maintained.</x:v>
      </x:c>
      <x:c r="G619" s="11" t="str">
        <x:v>candidate_unreviewed</x:v>
      </x:c>
      <x:c r="H619" s="24" t="b">
        <x:v>0</x:v>
      </x:c>
      <x:c r="I619" s="11" t="str">
        <x:v>Keyword extraction only. Read page image and full context before promoting. English search cannot exclude Sinhala/Tamil or image-only content.</x:v>
      </x:c>
    </x:row>
    <x:row r="620" ht="168" customHeight="1">
      <x:c r="A620" s="8" t="str">
        <x:v>C00619</x:v>
      </x:c>
      <x:c r="B620" s="8" t="str">
        <x:v>SRC_0098</x:v>
      </x:c>
      <x:c r="C620" s="8" t="str">
        <x:v>beira_lake-English.pdf</x:v>
      </x:c>
      <x:c r="D620" s="18" t="n">
        <x:v>178</x:v>
      </x:c>
      <x:c r="E620" s="8" t="str">
        <x:v>plot coverage, setbacks</x:v>
      </x:c>
      <x:c r="F620" s="8" t="str">
        <x:v>division (Sq.m.) 1500sqm Permissible Height (m) As per the City of Colombo Development Plan Maximum Plot Coverage (%) Podium 65% Tower 50% Minimum Setbacks (m) Building Line Width 36m – Sir Chittampalan A Gardiniar Mawatha (18m from center) Rear Space 6m Side Space 6m Special Guidelines || As per the City of Colombo Development Plan Maximum Plot Coverage (%) Podium 65% Tower 50% Minimum Setbacks (m) Building Line Width 36m – Sir Chittampalan A Gardiniar Mawatha (18m from center) Rear Space 6m Side Space 6m Special Guidelines</x:v>
      </x:c>
      <x:c r="G620" s="8" t="str">
        <x:v>candidate_unreviewed</x:v>
      </x:c>
      <x:c r="H620" s="21" t="b">
        <x:v>0</x:v>
      </x:c>
      <x:c r="I620" s="8" t="str">
        <x:v>Keyword extraction only. Read page image and full context before promoting. English search cannot exclude Sinhala/Tamil or image-only content.</x:v>
      </x:c>
    </x:row>
    <x:row r="621" ht="154" customHeight="1">
      <x:c r="A621" s="11" t="str">
        <x:v>C00620</x:v>
      </x:c>
      <x:c r="B621" s="11" t="str">
        <x:v>SRC_0098</x:v>
      </x:c>
      <x:c r="C621" s="11" t="str">
        <x:v>beira_lake-English.pdf</x:v>
      </x:c>
      <x:c r="D621" s="22" t="n">
        <x:v>179</x:v>
      </x:c>
      <x:c r="E621" s="11" t="str">
        <x:v>plot coverage, setbacks</x:v>
      </x:c>
      <x:c r="F621" s="11" t="str">
        <x:v>division (Sq.m.) 1500sqm Permissible Height (m) As per the City of Colombo Development Plan Maximum Plot Coverage (%) Podium 65% Tower 50% Minimum Setbacks (m) Building Line Width 32m – Malay Street (16m from center) Rear Space 6m Side Space 6m Special Guidelines || As per the City of Colombo Development Plan Maximum Plot Coverage (%) Podium 65% Tower 50% Minimum Setbacks (m) Building Line Width 32m – Malay Street (16m from center) Rear Space 6m Side Space 6m Special Guidelines</x:v>
      </x:c>
      <x:c r="G621" s="11" t="str">
        <x:v>candidate_unreviewed</x:v>
      </x:c>
      <x:c r="H621" s="24" t="b">
        <x:v>0</x:v>
      </x:c>
      <x:c r="I621" s="11" t="str">
        <x:v>Keyword extraction only. Read page image and full context before promoting. English search cannot exclude Sinhala/Tamil or image-only content.</x:v>
      </x:c>
    </x:row>
    <x:row r="622" ht="196" customHeight="1">
      <x:c r="A622" s="8" t="str">
        <x:v>C00621</x:v>
      </x:c>
      <x:c r="B622" s="8" t="str">
        <x:v>SRC_0098</x:v>
      </x:c>
      <x:c r="C622" s="8" t="str">
        <x:v>beira_lake-English.pdf</x:v>
      </x:c>
      <x:c r="D622" s="18" t="n">
        <x:v>180</x:v>
      </x:c>
      <x:c r="E622" s="8" t="str">
        <x:v>plot coverage, setbacks</x:v>
      </x:c>
      <x:c r="F622" s="8" t="str">
        <x:v>division (Sq.m.) 1500sqm Permissible Height (m) As per the City of Colombo Development Plan Maximum Plot Coverage (%) Podium 65% Tower 50% Minimum Setbacks (m) Street Line Width 12.2m (6.1m from center) Building Line Width 36m – Sir Chittampalan A Gardiniar Mawatha (18m from center) Rear Space 6m Side Space 6m Special Guidelines || As per the City of Colombo Development Plan Maximum Plot Coverage (%) Podium 65% Tower 50% Minimum Setbacks (m) Street Line Width 12.2m (6.1m from center) Building Line Width 36m – Sir Chittampalan A Gardiniar Mawatha (18m from center) Rear Space 6m Side Space 6m Special Guidelines</x:v>
      </x:c>
      <x:c r="G622" s="8" t="str">
        <x:v>candidate_unreviewed</x:v>
      </x:c>
      <x:c r="H622" s="21" t="b">
        <x:v>0</x:v>
      </x:c>
      <x:c r="I622" s="8" t="str">
        <x:v>Keyword extraction only. Read page image and full context before promoting. English search cannot exclude Sinhala/Tamil or image-only content.</x:v>
      </x:c>
    </x:row>
    <x:row r="623" ht="210" customHeight="1">
      <x:c r="A623" s="11" t="str">
        <x:v>C00622</x:v>
      </x:c>
      <x:c r="B623" s="11" t="str">
        <x:v>SRC_0098</x:v>
      </x:c>
      <x:c r="C623" s="11" t="str">
        <x:v>beira_lake-English.pdf</x:v>
      </x:c>
      <x:c r="D623" s="22" t="n">
        <x:v>181</x:v>
      </x:c>
      <x:c r="E623" s="11" t="str">
        <x:v>plot coverage, setbacks</x:v>
      </x:c>
      <x:c r="F623" s="11" t="str">
        <x:v>division (Sq.m.) 1500sqm Permissible Height (m) As per the City of Colombo Development Plan Maximum Plot Coverage (%) Podium 65% Tower 50% Minimum Setbacks (m) Street Line Width 12.2m (6.1m from center) Building Line Width 32m – Malay Street (16m from center) 24m – Justice Akbar Mawatha (12m from center) Rear Space 6m Side Space 6m Special Guidelines || As per the City of Colombo Development Plan Maximum Plot Coverage (%) Podium 65% Tower 50% Minimum Setbacks (m) Street Line Width 12.2m (6.1m from center) Building Line Width 32m – Malay Street (16m from center) 24m – Justice Akbar Mawatha (12m from center) Rear Space 6m Side Space 6m Special Guidelines</x:v>
      </x:c>
      <x:c r="G623" s="11" t="str">
        <x:v>candidate_unreviewed</x:v>
      </x:c>
      <x:c r="H623" s="24" t="b">
        <x:v>0</x:v>
      </x:c>
      <x:c r="I623" s="11" t="str">
        <x:v>Keyword extraction only. Read page image and full context before promoting. English search cannot exclude Sinhala/Tamil or image-only content.</x:v>
      </x:c>
    </x:row>
    <x:row r="624" ht="168" customHeight="1">
      <x:c r="A624" s="8" t="str">
        <x:v>C00623</x:v>
      </x:c>
      <x:c r="B624" s="8" t="str">
        <x:v>SRC_0098</x:v>
      </x:c>
      <x:c r="C624" s="8" t="str">
        <x:v>beira_lake-English.pdf</x:v>
      </x:c>
      <x:c r="D624" s="18" t="n">
        <x:v>182</x:v>
      </x:c>
      <x:c r="E624" s="8" t="str">
        <x:v>plot coverage, setbacks</x:v>
      </x:c>
      <x:c r="F624" s="8" t="str">
        <x:v>division (Sq.m.) 1500sqm Permissible Height (m) As per the City of Colombo Development Plan Maximum Plot Coverage (%) Podium 65% Tower 50% Minimum Setbacks (m) Building Line Width 24m – Justice Akbar Mawatha (12m from center) Rear Space 6m Side Space 6m Special Guidelines || As per the City of Colombo Development Plan Maximum Plot Coverage (%) Podium 65% Tower 50% Minimum Setbacks (m) Building Line Width 24m – Justice Akbar Mawatha (12m from center) Rear Space 6m Side Space 6m Special Guidelines</x:v>
      </x:c>
      <x:c r="G624" s="8" t="str">
        <x:v>candidate_unreviewed</x:v>
      </x:c>
      <x:c r="H624" s="21" t="b">
        <x:v>0</x:v>
      </x:c>
      <x:c r="I624" s="8" t="str">
        <x:v>Keyword extraction only. Read page image and full context before promoting. English search cannot exclude Sinhala/Tamil or image-only content.</x:v>
      </x:c>
    </x:row>
    <x:row r="625" ht="168" customHeight="1">
      <x:c r="A625" s="11" t="str">
        <x:v>C00624</x:v>
      </x:c>
      <x:c r="B625" s="11" t="str">
        <x:v>SRC_0098</x:v>
      </x:c>
      <x:c r="C625" s="11" t="str">
        <x:v>beira_lake-English.pdf</x:v>
      </x:c>
      <x:c r="D625" s="22" t="n">
        <x:v>183</x:v>
      </x:c>
      <x:c r="E625" s="11" t="str">
        <x:v>plot coverage, setbacks</x:v>
      </x:c>
      <x:c r="F625" s="11" t="str">
        <x:v>division (Sq.m.) 1500sqm Permissible Height (m) As per the City of Colombo Development Plan Maximum Plot Coverage (%) Podium 65% Tower 50% Minimum Setbacks (m) Street Line Width 12.2m (6.1m from center) Building Line Width - Rear Space 6m Side Space 6m Special Guidelines || As per the City of Colombo Development Plan Maximum Plot Coverage (%) Podium 65% Tower 50% Minimum Setbacks (m) Street Line Width 12.2m (6.1m from center) Building Line Width - Rear Space 6m Side Space 6m Special Guidelines</x:v>
      </x:c>
      <x:c r="G625" s="11" t="str">
        <x:v>candidate_unreviewed</x:v>
      </x:c>
      <x:c r="H625" s="24" t="b">
        <x:v>0</x:v>
      </x:c>
      <x:c r="I625" s="11" t="str">
        <x:v>Keyword extraction only. Read page image and full context before promoting. English search cannot exclude Sinhala/Tamil or image-only content.</x:v>
      </x:c>
    </x:row>
    <x:row r="626" ht="168" customHeight="1">
      <x:c r="A626" s="8" t="str">
        <x:v>C00625</x:v>
      </x:c>
      <x:c r="B626" s="8" t="str">
        <x:v>SRC_0098</x:v>
      </x:c>
      <x:c r="C626" s="8" t="str">
        <x:v>beira_lake-English.pdf</x:v>
      </x:c>
      <x:c r="D626" s="18" t="n">
        <x:v>184</x:v>
      </x:c>
      <x:c r="E626" s="8" t="str">
        <x:v>plot coverage, setbacks</x:v>
      </x:c>
      <x:c r="F626" s="8" t="str">
        <x:v>division (Sq.m.) 1500sqm Permissible Height (m) As per the City of Colombo Development Plan Maximum Plot Coverage (%) Podium 65% Tower 50% Minimum Setbacks (m) Building Line Width – Rear Space 10m from Lake Edge (Including 6m Linear Park) Side Space &amp; Rear Space 6m Special Guidelines || As per the City of Colombo Development Plan Maximum Plot Coverage (%) Podium 65% Tower 50% Minimum Setbacks (m) Building Line Width – Rear Space 10m from Lake Edge (Including 6m Linear Park) Side Space &amp; Rear Space 6m Special Guidelines</x:v>
      </x:c>
      <x:c r="G626" s="8" t="str">
        <x:v>candidate_unreviewed</x:v>
      </x:c>
      <x:c r="H626" s="21" t="b">
        <x:v>0</x:v>
      </x:c>
      <x:c r="I626" s="8" t="str">
        <x:v>Keyword extraction only. Read page image and full context before promoting. English search cannot exclude Sinhala/Tamil or image-only content.</x:v>
      </x:c>
    </x:row>
    <x:row r="627" ht="140" customHeight="1">
      <x:c r="A627" s="11" t="str">
        <x:v>C00626</x:v>
      </x:c>
      <x:c r="B627" s="11" t="str">
        <x:v>SRC_0098</x:v>
      </x:c>
      <x:c r="C627" s="11" t="str">
        <x:v>beira_lake-English.pdf</x:v>
      </x:c>
      <x:c r="D627" s="22" t="n">
        <x:v>185</x:v>
      </x:c>
      <x:c r="E627" s="11" t="str">
        <x:v>plot coverage, setbacks</x:v>
      </x:c>
      <x:c r="F627" s="11" t="str">
        <x:v>division (Sq.m.) 1500sqm Permissible Height (m) As per the City of Colombo Development Plan Maximum Plot Coverage (%) Podium 65% Tower 50% Minimum Setbacks (m) Building Line Width – Rear Space 6m Side Space 6m Special Guidelines || As per the City of Colombo Development Plan Maximum Plot Coverage (%) Podium 65% Tower 50% Minimum Setbacks (m) Building Line Width – Rear Space 6m Side Space 6m Special Guidelines</x:v>
      </x:c>
      <x:c r="G627" s="11" t="str">
        <x:v>candidate_unreviewed</x:v>
      </x:c>
      <x:c r="H627" s="24" t="b">
        <x:v>0</x:v>
      </x:c>
      <x:c r="I627" s="11" t="str">
        <x:v>Keyword extraction only. Read page image and full context before promoting. English search cannot exclude Sinhala/Tamil or image-only content.</x:v>
      </x:c>
    </x:row>
    <x:row r="628" ht="140" customHeight="1">
      <x:c r="A628" s="8" t="str">
        <x:v>C00627</x:v>
      </x:c>
      <x:c r="B628" s="8" t="str">
        <x:v>SRC_0098</x:v>
      </x:c>
      <x:c r="C628" s="8" t="str">
        <x:v>beira_lake-English.pdf</x:v>
      </x:c>
      <x:c r="D628" s="18" t="n">
        <x:v>186</x:v>
      </x:c>
      <x:c r="E628" s="8" t="str">
        <x:v>plot coverage, setbacks</x:v>
      </x:c>
      <x:c r="F628" s="8" t="str">
        <x:v>division (Sq.m.) 1500sqm Permissible Height (m) As per the City of Colombo Development Plan Maximum Plot Coverage (%) Podium 65% Tower 50% Minimum Setbacks (m) Building Line Width – Rear Space 6m Side Space 6m Special Guidelines || As per the City of Colombo Development Plan Maximum Plot Coverage (%) Podium 65% Tower 50% Minimum Setbacks (m) Building Line Width – Rear Space 6m Side Space 6m Special Guidelines</x:v>
      </x:c>
      <x:c r="G628" s="8" t="str">
        <x:v>candidate_unreviewed</x:v>
      </x:c>
      <x:c r="H628" s="21" t="b">
        <x:v>0</x:v>
      </x:c>
      <x:c r="I628" s="8" t="str">
        <x:v>Keyword extraction only. Read page image and full context before promoting. English search cannot exclude Sinhala/Tamil or image-only content.</x:v>
      </x:c>
    </x:row>
    <x:row r="629" ht="140" customHeight="1">
      <x:c r="A629" s="11" t="str">
        <x:v>C00628</x:v>
      </x:c>
      <x:c r="B629" s="11" t="str">
        <x:v>SRC_0098</x:v>
      </x:c>
      <x:c r="C629" s="11" t="str">
        <x:v>beira_lake-English.pdf</x:v>
      </x:c>
      <x:c r="D629" s="22" t="n">
        <x:v>187</x:v>
      </x:c>
      <x:c r="E629" s="11" t="str">
        <x:v>plot coverage, setbacks</x:v>
      </x:c>
      <x:c r="F629" s="11" t="str">
        <x:v>division (Sq.m.) 1500sqm Permissible Height (m) As per the City of Colombo Development Plan Maximum Plot Coverage (%) Podium 65% Tower 50% Minimum Setbacks (m) Building Line Width – Rear Space 6m Side Space 6m Special Guidelines || As per the City of Colombo Development Plan Maximum Plot Coverage (%) Podium 65% Tower 50% Minimum Setbacks (m) Building Line Width – Rear Space 6m Side Space 6m Special Guidelines</x:v>
      </x:c>
      <x:c r="G629" s="11" t="str">
        <x:v>candidate_unreviewed</x:v>
      </x:c>
      <x:c r="H629" s="24" t="b">
        <x:v>0</x:v>
      </x:c>
      <x:c r="I629" s="11" t="str">
        <x:v>Keyword extraction only. Read page image and full context before promoting. English search cannot exclude Sinhala/Tamil or image-only content.</x:v>
      </x:c>
    </x:row>
    <x:row r="630" ht="140" customHeight="1">
      <x:c r="A630" s="8" t="str">
        <x:v>C00629</x:v>
      </x:c>
      <x:c r="B630" s="8" t="str">
        <x:v>SRC_0098</x:v>
      </x:c>
      <x:c r="C630" s="8" t="str">
        <x:v>beira_lake-English.pdf</x:v>
      </x:c>
      <x:c r="D630" s="18" t="n">
        <x:v>188</x:v>
      </x:c>
      <x:c r="E630" s="8" t="str">
        <x:v>plot coverage, setbacks</x:v>
      </x:c>
      <x:c r="F630" s="8" t="str">
        <x:v>division (Sq.m.) 1500sqm Permissible Height (m) As per the City of Colombo Development Plan Maximum Plot Coverage (%) Podium 65% Tower 50% Minimum Setbacks (m) Building Line Width – Rear Space 6m Side Space 6m Special Guidelines || As per the City of Colombo Development Plan Maximum Plot Coverage (%) Podium 65% Tower 50% Minimum Setbacks (m) Building Line Width – Rear Space 6m Side Space 6m Special Guidelines</x:v>
      </x:c>
      <x:c r="G630" s="8" t="str">
        <x:v>candidate_unreviewed</x:v>
      </x:c>
      <x:c r="H630" s="21" t="b">
        <x:v>0</x:v>
      </x:c>
      <x:c r="I630" s="8" t="str">
        <x:v>Keyword extraction only. Read page image and full context before promoting. English search cannot exclude Sinhala/Tamil or image-only content.</x:v>
      </x:c>
    </x:row>
    <x:row r="631" ht="140" customHeight="1">
      <x:c r="A631" s="11" t="str">
        <x:v>C00630</x:v>
      </x:c>
      <x:c r="B631" s="11" t="str">
        <x:v>SRC_0098</x:v>
      </x:c>
      <x:c r="C631" s="11" t="str">
        <x:v>beira_lake-English.pdf</x:v>
      </x:c>
      <x:c r="D631" s="22" t="n">
        <x:v>189</x:v>
      </x:c>
      <x:c r="E631" s="11" t="str">
        <x:v>plot coverage, setbacks</x:v>
      </x:c>
      <x:c r="F631" s="11" t="str">
        <x:v>division (Sq.m.) 1500sqm Permissible Height (m) As per the City of Colombo Development Plan Maximum Plot Coverage (%) Podium 65% Tower 50% Minimum Setbacks (m) Building Line Width – Rear Space 6m Side Space 6m Special Guidelines || As per the City of Colombo Development Plan Maximum Plot Coverage (%) Podium 65% Tower 50% Minimum Setbacks (m) Building Line Width – Rear Space 6m Side Space 6m Special Guidelines</x:v>
      </x:c>
      <x:c r="G631" s="11" t="str">
        <x:v>candidate_unreviewed</x:v>
      </x:c>
      <x:c r="H631" s="24" t="b">
        <x:v>0</x:v>
      </x:c>
      <x:c r="I631" s="11" t="str">
        <x:v>Keyword extraction only. Read page image and full context before promoting. English search cannot exclude Sinhala/Tamil or image-only content.</x:v>
      </x:c>
    </x:row>
    <x:row r="632" ht="126" customHeight="1">
      <x:c r="A632" s="8" t="str">
        <x:v>C00631</x:v>
      </x:c>
      <x:c r="B632" s="8" t="str">
        <x:v>SRC_0098</x:v>
      </x:c>
      <x:c r="C632" s="8" t="str">
        <x:v>beira_lake-English.pdf</x:v>
      </x:c>
      <x:c r="D632" s="18" t="n">
        <x:v>190</x:v>
      </x:c>
      <x:c r="E632" s="8" t="str">
        <x:v>plot coverage, setbacks</x:v>
      </x:c>
      <x:c r="F632" s="8" t="str">
        <x:v>Activities Minimum Site Extent for Subdivision (Sq.m.) 1500sqm Permissible Height (m) 10m Maximum Plot Coverage (%) 10% Minimum Setbacks (m) Building Line Width – Rear Space 6m Side Space 6m Special Guidelines || for Subdivision (Sq.m.) 1500sqm Permissible Height (m) 10m Maximum Plot Coverage (%) 10% Minimum Setbacks (m) Building Line Width – Rear Space 6m Side Space 6m Special Guidelines</x:v>
      </x:c>
      <x:c r="G632" s="8" t="str">
        <x:v>candidate_unreviewed</x:v>
      </x:c>
      <x:c r="H632" s="21" t="b">
        <x:v>0</x:v>
      </x:c>
      <x:c r="I632" s="8" t="str">
        <x:v>Keyword extraction only. Read page image and full context before promoting. English search cannot exclude Sinhala/Tamil or image-only content.</x:v>
      </x:c>
    </x:row>
    <x:row r="633" ht="126" customHeight="1">
      <x:c r="A633" s="11" t="str">
        <x:v>C00632</x:v>
      </x:c>
      <x:c r="B633" s="11" t="str">
        <x:v>SRC_0098</x:v>
      </x:c>
      <x:c r="C633" s="11" t="str">
        <x:v>beira_lake-English.pdf</x:v>
      </x:c>
      <x:c r="D633" s="22" t="n">
        <x:v>191</x:v>
      </x:c>
      <x:c r="E633" s="11" t="str">
        <x:v>plot coverage, setbacks</x:v>
      </x:c>
      <x:c r="F633" s="11" t="str">
        <x:v>Activities Minimum Site Extent for Subdivision (Sq.m.) 1500sqm Permissible Height (m) 10m Maximum Plot Coverage (%) 10% Minimum Setbacks (m) Building Line Width – Rear Space 6m Side Space 6m Special Guidelines || for Subdivision (Sq.m.) 1500sqm Permissible Height (m) 10m Maximum Plot Coverage (%) 10% Minimum Setbacks (m) Building Line Width – Rear Space 6m Side Space 6m Special Guidelines</x:v>
      </x:c>
      <x:c r="G633" s="11" t="str">
        <x:v>candidate_unreviewed</x:v>
      </x:c>
      <x:c r="H633" s="24" t="b">
        <x:v>0</x:v>
      </x:c>
      <x:c r="I633" s="11" t="str">
        <x:v>Keyword extraction only. Read page image and full context before promoting. English search cannot exclude Sinhala/Tamil or image-only content.</x:v>
      </x:c>
    </x:row>
    <x:row r="634" ht="252" customHeight="1">
      <x:c r="A634" s="8" t="str">
        <x:v>C00633</x:v>
      </x:c>
      <x:c r="B634" s="8" t="str">
        <x:v>SRC_0098</x:v>
      </x:c>
      <x:c r="C634" s="8" t="str">
        <x:v>beira_lake-English.pdf</x:v>
      </x:c>
      <x:c r="D634" s="18" t="n">
        <x:v>192</x:v>
      </x:c>
      <x:c r="E634" s="8" t="str">
        <x:v>plot coverage, setbacks</x:v>
      </x:c>
      <x:c r="F634" s="8" t="str">
        <x:v>o be maintained as it is Permissible Height (m) As per the City of Colombo Development Plan Maximum Plot Coverage (%) Podium 65% Tower 50% Minimum Setbacks (m) Building Line Width 32m – Lotus Road (16m from center) Rear Space 10m from lake edge (including linear park) Side Space 6m Special Guidelines • Appearance of the existing historical buildings should be conserved according to the Archeological Department guidelines. || As per the City of Colombo Development Plan Maximum Plot Coverage (%) Podium 65% Tower 50% Minimum Setbacks (m) Building Line Width 32m – Lotus Road (16m from center) Rear Space 10m from lake edge (including linear park) Side Space 6m Special Guidelines • Appearance of the existing historical buildings should be conserved according to the Archeological Department guidelines.</x:v>
      </x:c>
      <x:c r="G634" s="8" t="str">
        <x:v>candidate_unreviewed</x:v>
      </x:c>
      <x:c r="H634" s="21" t="b">
        <x:v>0</x:v>
      </x:c>
      <x:c r="I634" s="8" t="str">
        <x:v>Keyword extraction only. Read page image and full context before promoting. English search cannot exclude Sinhala/Tamil or image-only content.</x:v>
      </x:c>
    </x:row>
    <x:row r="635" ht="238" customHeight="1">
      <x:c r="A635" s="11" t="str">
        <x:v>C00634</x:v>
      </x:c>
      <x:c r="B635" s="11" t="str">
        <x:v>SRC_0098</x:v>
      </x:c>
      <x:c r="C635" s="11" t="str">
        <x:v>beira_lake-English.pdf</x:v>
      </x:c>
      <x:c r="D635" s="22" t="n">
        <x:v>193</x:v>
      </x:c>
      <x:c r="E635" s="11" t="str">
        <x:v>plot coverage, setbacks</x:v>
      </x:c>
      <x:c r="F635" s="11" t="str">
        <x:v>division (Sq.m.) 1500sqm Permissible Height (m) As per the City of Colombo Development Plan Maximum Plot Coverage (%) Podium 65% Tower 50% Minimum Setbacks (m) Building Line Width 32m – Lotus Road (16m from center) Rear Space 10m from lake edge (including linear park) Side Space 6m Special Guidelines • Reservations for railway line to be maintained as per the guidelines of Railway Department. || As per the City of Colombo Development Plan Maximum Plot Coverage (%) Podium 65% Tower 50% Minimum Setbacks (m) Building Line Width 32m – Lotus Road (16m from center) Rear Space 10m from lake edge (including linear park) Side Space 6m Special Guidelines • Reservations for railway line to be maintained as per the guidelines of Railway Department.</x:v>
      </x:c>
      <x:c r="G635" s="11" t="str">
        <x:v>candidate_unreviewed</x:v>
      </x:c>
      <x:c r="H635" s="24" t="b">
        <x:v>0</x:v>
      </x:c>
      <x:c r="I635" s="11" t="str">
        <x:v>Keyword extraction only. Read page image and full context before promoting. English search cannot exclude Sinhala/Tamil or image-only content.</x:v>
      </x:c>
    </x:row>
    <x:row r="636" ht="252" customHeight="1">
      <x:c r="A636" s="8" t="str">
        <x:v>C00635</x:v>
      </x:c>
      <x:c r="B636" s="8" t="str">
        <x:v>SRC_0098</x:v>
      </x:c>
      <x:c r="C636" s="8" t="str">
        <x:v>beira_lake-English.pdf</x:v>
      </x:c>
      <x:c r="D636" s="18" t="n">
        <x:v>194</x:v>
      </x:c>
      <x:c r="E636" s="8" t="str">
        <x:v>plot coverage, setbacks</x:v>
      </x:c>
      <x:c r="F636" s="8" t="str">
        <x:v>division (Sq.m.) 1500sqm Permissible Height (m) As per the City of Colombo Development Plan Maximum Plot Coverage (%) Podium 65% Tower 50% Minimum Setbacks (m) Building Line Width 36m – Sir Chittampalan A Gardiniar Mawatha (18m from center) Rear Space 6m Side Space 6m &amp; 10m from lake edge (including linear park) Special Guidelines • Reservations for railway line to be maintained as per the guidelines of Railway Department. || As per the City of Colombo Development Plan Maximum Plot Coverage (%) Podium 65% Tower 50% Minimum Setbacks (m) Building Line Width 36m – Sir Chittampalan A Gardiniar Mawatha (18m from center) Rear Space 6m Side Space 6m &amp; 10m from lake edge (including linear park) Special Guidelines • Reservations for railway line to be maintained as per the guidelines of Railway Department.</x:v>
      </x:c>
      <x:c r="G636" s="8" t="str">
        <x:v>candidate_unreviewed</x:v>
      </x:c>
      <x:c r="H636" s="21" t="b">
        <x:v>0</x:v>
      </x:c>
      <x:c r="I636" s="8" t="str">
        <x:v>Keyword extraction only. Read page image and full context before promoting. English search cannot exclude Sinhala/Tamil or image-only content.</x:v>
      </x:c>
    </x:row>
    <x:row r="637" ht="224" customHeight="1">
      <x:c r="A637" s="11" t="str">
        <x:v>C00636</x:v>
      </x:c>
      <x:c r="B637" s="11" t="str">
        <x:v>SRC_0098</x:v>
      </x:c>
      <x:c r="C637" s="11" t="str">
        <x:v>beira_lake-English.pdf</x:v>
      </x:c>
      <x:c r="D637" s="22" t="n">
        <x:v>195</x:v>
      </x:c>
      <x:c r="E637" s="11" t="str">
        <x:v>plot coverage, setbacks</x:v>
      </x:c>
      <x:c r="F637" s="11" t="str">
        <x:v>division (Sq.m.) 1500sqm Permissible Height (m) As per the City of Colombo Development Plan Maximum Plot Coverage (%) Podium 65% Tower 50% Minimum Setbacks (m) Building Line Width 36m – Sir Chittampalan A Gardiniar Mawatha (18m from center) Rear Space 6m Side Space 6m Special Guidelines • Reservations for railway line to be maintained as per the guidelines of Railway Department. || As per the City of Colombo Development Plan Maximum Plot Coverage (%) Podium 65% Tower 50% Minimum Setbacks (m) Building Line Width 36m – Sir Chittampalan A Gardiniar Mawatha (18m from center) Rear Space 6m Side Space 6m Special Guidelines • Reservations for railway line to be maintained as per the guidelines of Railway Department.</x:v>
      </x:c>
      <x:c r="G637" s="11" t="str">
        <x:v>candidate_unreviewed</x:v>
      </x:c>
      <x:c r="H637" s="24" t="b">
        <x:v>0</x:v>
      </x:c>
      <x:c r="I637" s="11" t="str">
        <x:v>Keyword extraction only. Read page image and full context before promoting. English search cannot exclude Sinhala/Tamil or image-only content.</x:v>
      </x:c>
    </x:row>
    <x:row r="638" ht="238" customHeight="1">
      <x:c r="A638" s="8" t="str">
        <x:v>C00637</x:v>
      </x:c>
      <x:c r="B638" s="8" t="str">
        <x:v>SRC_0098</x:v>
      </x:c>
      <x:c r="C638" s="8" t="str">
        <x:v>beira_lake-English.pdf</x:v>
      </x:c>
      <x:c r="D638" s="18" t="n">
        <x:v>196</x:v>
      </x:c>
      <x:c r="E638" s="8" t="str">
        <x:v>plot coverage, setbacks</x:v>
      </x:c>
      <x:c r="F638" s="8" t="str">
        <x:v>division (Sq.m.) 1500sqm Permissible Height (m) As per the City of Colombo Development Plan Maximum Plot Coverage (%) Podium 65% Tower 50% Minimum Setbacks (m) Building Line Width 24m – D.R. Wijewardena Mawatha (12m from center) Rear Space 6m Side Space 6m &amp; 10m from lake edge (including linear park) Special Guidelines • Reservations for railway line to be maintained as per the guidelines of Railway Department. || As per the City of Colombo Development Plan Maximum Plot Coverage (%) Podium 65% Tower 50% Minimum Setbacks (m) Building Line Width 24m – D.R. Wijewardena Mawatha (12m from center) Rear Space 6m Side Space 6m &amp; 10m from lake edge (including linear park) Special Guidelines • Reservations for railway line to be maintained as per the guidelines of Railway Department.</x:v>
      </x:c>
      <x:c r="G638" s="8" t="str">
        <x:v>candidate_unreviewed</x:v>
      </x:c>
      <x:c r="H638" s="21" t="b">
        <x:v>0</x:v>
      </x:c>
      <x:c r="I638" s="8" t="str">
        <x:v>Keyword extraction only. Read page image and full context before promoting. English search cannot exclude Sinhala/Tamil or image-only content.</x:v>
      </x:c>
    </x:row>
    <x:row r="639" ht="168" customHeight="1">
      <x:c r="A639" s="11" t="str">
        <x:v>C00638</x:v>
      </x:c>
      <x:c r="B639" s="11" t="str">
        <x:v>SRC_0098</x:v>
      </x:c>
      <x:c r="C639" s="11" t="str">
        <x:v>beira_lake-English.pdf</x:v>
      </x:c>
      <x:c r="D639" s="22" t="n">
        <x:v>197</x:v>
      </x:c>
      <x:c r="E639" s="11" t="str">
        <x:v>plot coverage, setbacks</x:v>
      </x:c>
      <x:c r="F639" s="11" t="str">
        <x:v>division (Sq.m.) 1500sqm Permissible Height (m) As per the City of Colombo Development Plan Maximum Plot Coverage (%) Podium 20% Tower 20% Minimum Setbacks (m) Building Line Width - Rear Space 6m Side Space 6m &amp; 10m from lake edge (including linear park) Special Guidelines || As per the City of Colombo Development Plan Maximum Plot Coverage (%) Podium 20% Tower 20% Minimum Setbacks (m) Building Line Width - Rear Space 6m Side Space 6m &amp; 10m from lake edge (including linear park) Special Guidelines</x:v>
      </x:c>
      <x:c r="G639" s="11" t="str">
        <x:v>candidate_unreviewed</x:v>
      </x:c>
      <x:c r="H639" s="24" t="b">
        <x:v>0</x:v>
      </x:c>
      <x:c r="I639" s="11" t="str">
        <x:v>Keyword extraction only. Read page image and full context before promoting. English search cannot exclude Sinhala/Tamil or image-only content.</x:v>
      </x:c>
    </x:row>
    <x:row r="640" ht="154" customHeight="1">
      <x:c r="A640" s="8" t="str">
        <x:v>C00639</x:v>
      </x:c>
      <x:c r="B640" s="8" t="str">
        <x:v>SRC_0099</x:v>
      </x:c>
      <x:c r="C640" s="8" t="str">
        <x:v>cityofColombo.pdf</x:v>
      </x:c>
      <x:c r="D640" s="18" t="n">
        <x:v>11</x:v>
      </x:c>
      <x:c r="E640" s="8" t="str">
        <x:v>staircase</x:v>
      </x:c>
      <x:c r="F640" s="8" t="str">
        <x:v>y; (iv) dimension in figures dimensions of the building and all rooms, compartments, corridors, staircases, verandas and roof terraces and the thickness of the walls and columns thereof; (v) dimensions in figures of the clear areas of every air-well, back-yard, court-yard and open space in and around the building and the distances from the external walls of the building to the centre line and side of every street, road reserve, and drainage reserve within the lot or adjoining thereto;</x:v>
      </x:c>
      <x:c r="G640" s="8" t="str">
        <x:v>candidate_unreviewed</x:v>
      </x:c>
      <x:c r="H640" s="21" t="b">
        <x:v>0</x:v>
      </x:c>
      <x:c r="I640" s="8" t="str">
        <x:v>Keyword extraction only. Read page image and full context before promoting. English search cannot exclude Sinhala/Tamil or image-only content.</x:v>
      </x:c>
    </x:row>
    <x:row r="641" ht="224" customHeight="1">
      <x:c r="A641" s="11" t="str">
        <x:v>C00640</x:v>
      </x:c>
      <x:c r="B641" s="11" t="str">
        <x:v>SRC_0099</x:v>
      </x:c>
      <x:c r="C641" s="11" t="str">
        <x:v>cityofColombo.pdf</x:v>
      </x:c>
      <x:c r="D641" s="22" t="n">
        <x:v>25</x:v>
      </x:c>
      <x:c r="E641" s="11" t="str">
        <x:v>staircase</x:v>
      </x:c>
      <x:c r="F641" s="11" t="str">
        <x:v>(7) The exit from a building other than a private dwelling house and every door opening on to a staircase of the building and all other means of fire-escape which are provided therein in accordance with the Code of Fire Precautions for Buildings shall, except where otherwise require by the fire chief, not be locked or obstructed whilst the building or a part thereof is being used or occupied. 26. The owner or occupier of a building or part thereof or, if the building or part thereof is part of a housing development or any other building development, the developer shall if he, without any reasonable cause, contravenes or fails to comply with the provision of regulation 21 or paragraph (2) (6) or (7) of regulation 25 be guilty of an</x:v>
      </x:c>
      <x:c r="G641" s="11" t="str">
        <x:v>candidate_unreviewed</x:v>
      </x:c>
      <x:c r="H641" s="24" t="b">
        <x:v>0</x:v>
      </x:c>
      <x:c r="I641" s="11" t="str">
        <x:v>Keyword extraction only. Read page image and full context before promoting. English search cannot exclude Sinhala/Tamil or image-only content.</x:v>
      </x:c>
    </x:row>
    <x:row r="642" ht="112" customHeight="1">
      <x:c r="A642" s="8" t="str">
        <x:v>C00641</x:v>
      </x:c>
      <x:c r="B642" s="8" t="str">
        <x:v>SRC_0099</x:v>
      </x:c>
      <x:c r="C642" s="8" t="str">
        <x:v>cityofColombo.pdf</x:v>
      </x:c>
      <x:c r="D642" s="18" t="n">
        <x:v>29</x:v>
      </x:c>
      <x:c r="E642" s="8" t="str">
        <x:v>light and ventilation</x:v>
      </x:c>
      <x:c r="F642" s="8" t="str">
        <x:v>meters in depth. (6) No new sub-division shall have the effect of reducing the open space, light and ventilation and other requirements of any existing building on the site to less than those required under these regulations. (7) No lot in a sub-division plan shall be utilized for any purpose other than the purpose for which it was approved.</x:v>
      </x:c>
      <x:c r="G642" s="8" t="str">
        <x:v>candidate_unreviewed</x:v>
      </x:c>
      <x:c r="H642" s="21" t="b">
        <x:v>0</x:v>
      </x:c>
      <x:c r="I642" s="8" t="str">
        <x:v>Keyword extraction only. Read page image and full context before promoting. English search cannot exclude Sinhala/Tamil or image-only content.</x:v>
      </x:c>
    </x:row>
    <x:row r="643" ht="378" customHeight="1">
      <x:c r="A643" s="11" t="str">
        <x:v>C00642</x:v>
      </x:c>
      <x:c r="B643" s="11" t="str">
        <x:v>SRC_0099</x:v>
      </x:c>
      <x:c r="C643" s="11" t="str">
        <x:v>cityofColombo.pdf</x:v>
      </x:c>
      <x:c r="D643" s="22" t="n">
        <x:v>30</x:v>
      </x:c>
      <x:c r="E643" s="11" t="str">
        <x:v>minimum width</x:v>
      </x:c>
      <x:c r="F643" s="11" t="str">
        <x:v>accordance with the provisions of paragraphs (10), (11) and (12) of this regulation. (9) The minimum width of a carriageway reservation for the street shall be as approved by the Authority but in no case shall be less than 3.6 meters for streets up to 9.0 meters in width and 6.0 meters for streets wider than 9.0 meters. (10) No site or lot abutting a street, less than nine meters in width, shall be used for non-residential use or construction of any building for such use except as provided under paragraph (15) of this regulation. (11) The width of private roads, in a new sub-division of land in any land use zone, other than special Primary Residential and Primary Residential Zone should be not less than 9.0 meters. (12) Every s || a public street. In such case the maximum lengths shown in Column 2 also could be doubled but the minimum width of the road shall not be less than 4.5m. Minimum Width of Private Streets(meters) Maximum Length of private Streets (meters) Maximum No. of Lots 3.0 50.0 4 4.5 100.0 8 || olumn 2 also could be doubled but the minimum width of the road shall not be less than 4.5m. Minimum Width of Private Streets(meters) Maximum Length of private Streets (meters) Maximum No. of Lots 3.0 50.0 4 4.5 100.0 8</x:v>
      </x:c>
      <x:c r="G643" s="11" t="str">
        <x:v>candidate_unreviewed</x:v>
      </x:c>
      <x:c r="H643" s="24" t="b">
        <x:v>0</x:v>
      </x:c>
      <x:c r="I643" s="11" t="str">
        <x:v>Keyword extraction only. Read page image and full context before promoting. English search cannot exclude Sinhala/Tamil or image-only content.</x:v>
      </x:c>
    </x:row>
    <x:row r="644" ht="392" customHeight="1">
      <x:c r="A644" s="8" t="str">
        <x:v>C00643</x:v>
      </x:c>
      <x:c r="B644" s="8" t="str">
        <x:v>SRC_0099</x:v>
      </x:c>
      <x:c r="C644" s="8" t="str">
        <x:v>cityofColombo.pdf</x:v>
      </x:c>
      <x:c r="D644" s="18" t="n">
        <x:v>31</x:v>
      </x:c>
      <x:c r="E644" s="8" t="str">
        <x:v>minimum width</x:v>
      </x:c>
      <x:c r="F644" s="8" t="str">
        <x:v>ss requirements for a dwelling house as stipulated in Form “A” above, are to be complied with, the minimum width or access may be reduced on the recommendations of the Mayor/Chairman of the Local Authority and in consultation with the Planning Committee subject to the following: (i) A minimum width of 3 meters is available for access (ii) This reduction will not apply in case of a new sub-division. . (iii) If the settlements are of Low Income character (15) Every such street which is less than (9.0) meters in width and exceeds thirty meters in length, shall be provided with a turning circle of not less than nine (9.0) meters in diameter or any other form of space acceptable to the Authority at a suitable location along the stree || ocal Authority and in consultation with the Planning Committee subject to the following: (i) A minimum width of 3 meters is available for access (ii) This reduction will not apply in case of a new sub-division. . (iii) If the settlements are of Low Income character (15) Every such street which is less than (9.0) meters in width and exceeds thirty meters in length, shall be provided with a turning circle of not less than nine (9.0) meters in diameter or any other form of space acceptable to the Authority at a suitable location along the street, so that a vehicle can be turned safely.</x:v>
      </x:c>
      <x:c r="G644" s="8" t="str">
        <x:v>candidate_unreviewed</x:v>
      </x:c>
      <x:c r="H644" s="21" t="b">
        <x:v>0</x:v>
      </x:c>
      <x:c r="I644" s="8" t="str">
        <x:v>Keyword extraction only. Read page image and full context before promoting. English search cannot exclude Sinhala/Tamil or image-only content.</x:v>
      </x:c>
    </x:row>
    <x:row r="645" ht="434" customHeight="1">
      <x:c r="A645" s="11" t="str">
        <x:v>C00644</x:v>
      </x:c>
      <x:c r="B645" s="11" t="str">
        <x:v>SRC_0099</x:v>
      </x:c>
      <x:c r="C645" s="11" t="str">
        <x:v>cityofColombo.pdf</x:v>
      </x:c>
      <x:c r="D645" s="22" t="n">
        <x:v>35</x:v>
      </x:c>
      <x:c r="E645" s="11" t="str">
        <x:v>minimum width, plot coverage</x:v>
      </x:c>
      <x:c r="F645" s="11" t="str">
        <x:v>e III on parking requirements. 35. (1) The Minimum land extent, width between building Lines, minimum width of private roads and maximum permissible floor area ratios are given in Form C1 and building categories, number of floors, minimum site frontage, maximum plot coverage and open spaces around the building are given in Form C2. (2) Every lot or site which abuts on to the end of dead end street may have a frontage less than the width in Form “C” above, but have a frontage which is not less than 3.0 metres wide perpendicular to the line of the street. (3) The Authority may relax the requirements of the specified site extent and width, in the case of an existing lot provided, that the building satisfies all other requirements. || ios are given in Form C1 and building categories, number of floors, minimum site frontage, maximum plot coverage and open spaces around the building are given in Form C2. (2) Every lot or site which abuts on to the end of dead end street may have a frontage less than the width in Form “C” above, but have a frontage which is not less than 3.0 metres wide perpendicular to the line of the street. (3) The Authority may relax the requirements of the specified site extent and width, in the case of an existing lot provided, that the building satisfies all other requirements. (4) The maximum height of a building on an existing lot which is six metres or less in width and or has less than one hundred and fifty square metres in extent s</x:v>
      </x:c>
      <x:c r="G645" s="11" t="str">
        <x:v>candidate_unreviewed</x:v>
      </x:c>
      <x:c r="H645" s="24" t="b">
        <x:v>0</x:v>
      </x:c>
      <x:c r="I645" s="11" t="str">
        <x:v>Keyword extraction only. Read page image and full context before promoting. English search cannot exclude Sinhala/Tamil or image-only content.</x:v>
      </x:c>
    </x:row>
    <x:row r="646" ht="392" customHeight="1">
      <x:c r="A646" s="8" t="str">
        <x:v>C00645</x:v>
      </x:c>
      <x:c r="B646" s="8" t="str">
        <x:v>SRC_0099</x:v>
      </x:c>
      <x:c r="C646" s="8" t="str">
        <x:v>cityofColombo.pdf</x:v>
      </x:c>
      <x:c r="D646" s="18" t="n">
        <x:v>37</x:v>
      </x:c>
      <x:c r="E646" s="8" t="str">
        <x:v>minimum width</x:v>
      </x:c>
      <x:c r="F646" s="8" t="str">
        <x:v>ions for Development Form C1 Row No Minimum Land Extent (sq.m.) Minimum width between building lines of a public Street/Road (meters) Minimum width of private Street/Road (meter) Maximum permissible FAR 1 150 less than 250 - 3.0 1:1.5 2 150 less than 250 - 4.5 1:1.75 3 150 less than 250 - 6.0 1:2.0 4 150 less than 250 - 9.0 1:2.5 5 150 less than 250 12.2 12.2 1:3.0 6 250 less than 400 12.2 6.0 1:3.5 7 400 less than 500 12.2 9.0 1:4.5 8 500 less than 700 12.2 9.0 1:5.0 9 500 less than 700 15.0 12.2 1:5.5 10 700 less than 900 15.0 12.2 1:6.0 11 900 less than 1000 15.0 12.2 1:7.0 12 900 less than 1000 22 12.2 1:7.5 13 1000 less than 1500 22 12.2 1:8 || imum Land Extent (sq.m.) Minimum width between building lines of a public Street/Road (meters) Minimum width of private Street/Road (meter) Maximum permissible FAR 1 150 less than 250 - 3.0 1:1.5 2 150 less than 250 - 4.5 1:1.75 3 150 less than 250 - 6.0 1:2.0 4 150 less than 250 - 9.0 1:2.5 5 150 less than 250 12.2 12.2 1:3.0 6 250 less than 400 12.2 6.0 1:3.5 7 400 less than 500 12.2 9.0 1:4.5 8 500 less than 700 12.2 9.0 1:5.0 9 500 less than 700 15.0 12.2 1:5.5 10 700 less than 900 15.0 12.2 1:6.0 11 900 less than 1000 15.0 12.2 1:7.0 12 900 less than 1000 22 12.2 1:7.5 13 1000 less than 1500 22 12.2 1:8.0 14 1500 less than 2000 22 12.2 1:9.0 15 1500 less than 2000 24</x:v>
      </x:c>
      <x:c r="G646" s="8" t="str">
        <x:v>candidate_unreviewed</x:v>
      </x:c>
      <x:c r="H646" s="21" t="b">
        <x:v>0</x:v>
      </x:c>
      <x:c r="I646" s="8" t="str">
        <x:v>Keyword extraction only. Read page image and full context before promoting. English search cannot exclude Sinhala/Tamil or image-only content.</x:v>
      </x:c>
    </x:row>
    <x:row r="647" ht="588" customHeight="1">
      <x:c r="A647" s="11" t="str">
        <x:v>C00646</x:v>
      </x:c>
      <x:c r="B647" s="11" t="str">
        <x:v>SRC_0099</x:v>
      </x:c>
      <x:c r="C647" s="11" t="str">
        <x:v>cityofColombo.pdf</x:v>
      </x:c>
      <x:c r="D647" s="22" t="n">
        <x:v>41</x:v>
      </x:c>
      <x:c r="E647" s="11" t="str">
        <x:v>bathroom, habitable room, minimum width</x:v>
      </x:c>
      <x:c r="F647" s="11" t="str">
        <x:v>40 Minimum width of buildings Number of Storey (Amended by Section No. 7.23 in CCDP 2008) Minimum area of rooms in residential buildings Minimum dimension of lavatories, water closets and bathrooms Space inside Buildings 46. Every new row house, shop building or other building shall have a minimum width of 6.0m measured between the centres of party or external walls or party and external walls at ground level, except that the minimum width for a new building to be erected on a corner site may be 4.80m. 47. The height of any building and the number of storeys that it may compri || residential buildings Minimum dimension of lavatories, water closets and bathrooms Space inside Buildings 46. Every new row house, shop building or other building shall have a minimum width of 6.0m measured between the centres of party or external walls or party and external walls at ground level, except that the minimum width for a new building to be erected on a corner site may be 4.80m. 47. The height of any building and the number of storeys that it may comprise shall be in strict accordance with the provisions of Regulation 35, Form “C” and the Development Plan of the relevant Local Authority. 48. The area of any habitable room in a residential building shall be not less th || Space inside Buildings 46. Every new row house, shop building or other building shall have a minimum width of 6.0m measured between the centres of party or external walls or party and external walls at ground level, except that the minimum width for a new building to be erected on a corner site may be 4.80m. 47. The height of any building and the number of storeys that it may comprise shall be in strict accordance with the provisions of Regulation 35, Form “C” and the Development Plan of the relevant Local Authority. 48. The area of any habitable room in a residential building shall be not less than 8.0 square meters with a minimum width of 2.50m clear between walls except - (a) a kitchen which shall have a minimum area of 5.0 s</x:v>
      </x:c>
      <x:c r="G647" s="11" t="str">
        <x:v>candidate_unreviewed</x:v>
      </x:c>
      <x:c r="H647" s="24" t="b">
        <x:v>0</x:v>
      </x:c>
      <x:c r="I647" s="11" t="str">
        <x:v>Keyword extraction only. Read page image and full context before promoting. English search cannot exclude Sinhala/Tamil or image-only content.</x:v>
      </x:c>
    </x:row>
    <x:row r="648" ht="434" customHeight="1">
      <x:c r="A648" s="8" t="str">
        <x:v>C00647</x:v>
      </x:c>
      <x:c r="B648" s="8" t="str">
        <x:v>SRC_0099</x:v>
      </x:c>
      <x:c r="C648" s="8" t="str">
        <x:v>cityofColombo.pdf</x:v>
      </x:c>
      <x:c r="D648" s="18" t="n">
        <x:v>42</x:v>
      </x:c>
      <x:c r="E648" s="8" t="str">
        <x:v>bathroom, bedroom</x:v>
      </x:c>
      <x:c r="F648" s="8" t="str">
        <x:v>50. (1) The height of rooms in residential buildings shall be - (a) for living rooms and bedrooms not less than 2.8m; (b) for kitchens not less than 2.8m; and (c) for bathrooms, lavatories, water-closets, porches, balconies, terraces and garages not less than 2.2m. (2) The height of ground floor rooms in a shop shall be not less than 3.0m and the height of upper floor rooms shall be not less than 2.8m. (3) The height of classrooms in a school shall be not less than 3.5m. (4) The height of rooms used for the accommodation of patients in a hospital shall be not less than 3.5m factories. (5) The height of rooms in a factory in which any person works shall be not less than 3.0m. (6) (a) The height of rooms i || iving rooms and bedrooms not less than 2.8m; (b) for kitchens not less than 2.8m; and (c) for bathrooms, lavatories, water-closets, porches, balconies, terraces and garages not less than 2.2m. (2) The height of ground floor rooms in a shop shall be not less than 3.0m and the height of upper floor rooms shall be not less than 2.8m. (3) The height of classrooms in a school shall be not less than 3.5m. (4) The height of rooms used for the accommodation of patients in a hospital shall be not less than 3.5m factories. (5) The height of rooms in a factory in which any person works shall be not less than 3.0m. (6) (a) The height of rooms in a place of public resort shall be not less than 3.0m. Where a balcony is provided</x:v>
      </x:c>
      <x:c r="G648" s="8" t="str">
        <x:v>candidate_unreviewed</x:v>
      </x:c>
      <x:c r="H648" s="21" t="b">
        <x:v>0</x:v>
      </x:c>
      <x:c r="I648" s="8" t="str">
        <x:v>Keyword extraction only. Read page image and full context before promoting. English search cannot exclude Sinhala/Tamil or image-only content.</x:v>
      </x:c>
    </x:row>
    <x:row r="649" ht="182" customHeight="1">
      <x:c r="A649" s="11" t="str">
        <x:v>C00648</x:v>
      </x:c>
      <x:c r="B649" s="11" t="str">
        <x:v>SRC_0099</x:v>
      </x:c>
      <x:c r="C649" s="11" t="str">
        <x:v>cityofColombo.pdf</x:v>
      </x:c>
      <x:c r="D649" s="22" t="n">
        <x:v>43</x:v>
      </x:c>
      <x:c r="E649" s="11" t="str">
        <x:v>minimum width</x:v>
      </x:c>
      <x:c r="F649" s="11" t="str">
        <x:v>y shall be as follows: a) Residential development having maximum of two units shall have a clear minimum width of 1.0 meter. b) All other developments except condominium developments shall have a clear minimum width of 1.2 meters. c) In Condominium Developments, width of an entrance passage in any housing unit shall be not less than 1.5 meters. || idth of 1.0 meter. b) All other developments except condominium developments shall have a clear minimum width of 1.2 meters. c) In Condominium Developments, width of an entrance passage in any housing unit shall be not less than 1.5 meters.</x:v>
      </x:c>
      <x:c r="G649" s="11" t="str">
        <x:v>candidate_unreviewed</x:v>
      </x:c>
      <x:c r="H649" s="24" t="b">
        <x:v>0</x:v>
      </x:c>
      <x:c r="I649" s="11" t="str">
        <x:v>Keyword extraction only. Read page image and full context before promoting. English search cannot exclude Sinhala/Tamil or image-only content.</x:v>
      </x:c>
    </x:row>
    <x:row r="650" ht="420" customHeight="1">
      <x:c r="A650" s="8" t="str">
        <x:v>C00649</x:v>
      </x:c>
      <x:c r="B650" s="8" t="str">
        <x:v>SRC_0099</x:v>
      </x:c>
      <x:c r="C650" s="8" t="str">
        <x:v>cityofColombo.pdf</x:v>
      </x:c>
      <x:c r="D650" s="18" t="n">
        <x:v>44</x:v>
      </x:c>
      <x:c r="E650" s="8" t="str">
        <x:v>light and ventilation</x:v>
      </x:c>
      <x:c r="F650" s="8" t="str">
        <x:v>sources of natural light and ventilation Light and Ventilation 52. Every building shall be provided with - (a) natural lighting by means of glazed windows, skylights, fanlights, doors or other approved natural light-transmitting media; (b) natural ventilation by means of windows, skylights, fanlights, doors, louvers or ventilation openings. 53. (1) In a building the windows and openings through which natural light and ventilation can be obtained shall be so located that- (a) they face and open upon- i. the sky; ii. A public road or a street with right of way or public space dedicated for public use. iii. a courtyard or open space located within the building lot and c || or ventilation openings. 53. (1) In a building the windows and openings through which natural light and ventilation can be obtained shall be so located that- (a) they face and open upon- i. the sky; ii. A public road or a street with right of way or public space dedicated for public use. iii. a courtyard or open space located within the building lot and complying with the relevant provision, of regulation 38 or 39 as the case may be; or iv. an air well complying with the requirements of regulation 58; and (b) in the case of a building other than that specified in sub- paragraph (c), part of the room served by such sources shall be more than 10m away horizontally from such sources; and (c) in the case of godowns and factories</x:v>
      </x:c>
      <x:c r="G650" s="8" t="str">
        <x:v>candidate_unreviewed</x:v>
      </x:c>
      <x:c r="H650" s="21" t="b">
        <x:v>0</x:v>
      </x:c>
      <x:c r="I650" s="8" t="str">
        <x:v>Keyword extraction only. Read page image and full context before promoting. English search cannot exclude Sinhala/Tamil or image-only content.</x:v>
      </x:c>
    </x:row>
    <x:row r="651" ht="238" customHeight="1">
      <x:c r="A651" s="11" t="str">
        <x:v>C00650</x:v>
      </x:c>
      <x:c r="B651" s="11" t="str">
        <x:v>SRC_0099</x:v>
      </x:c>
      <x:c r="C651" s="11" t="str">
        <x:v>cityofColombo.pdf</x:v>
      </x:c>
      <x:c r="D651" s="22" t="n">
        <x:v>45</x:v>
      </x:c>
      <x:c r="E651" s="11" t="str">
        <x:v>light and ventilation</x:v>
      </x:c>
      <x:c r="F651" s="11" t="str">
        <x:v>n opening or other natural ventilation device in the roof of the room. (2) Sources of natural light and ventilation may open upon an enclosed or partly enclosed balcony, verandah or porch if - (a) such balcony, verandah or porch faces upon a street or service road or upon a courtyard or open space which is located upon the building lot and complies with the relevant requirements of regulations 38 and 45; (b) the maximum depth of the room served by such sources does not exceed 10m measured from the outer face of the enclosure www woo the balcony, verandah or porch; and (c) the front of the balcony, verandah or porch has an opening to external air, the area of which shall be at least 75 per cent of the floor area of such balcony, verandah o</x:v>
      </x:c>
      <x:c r="G651" s="11" t="str">
        <x:v>candidate_unreviewed</x:v>
      </x:c>
      <x:c r="H651" s="24" t="b">
        <x:v>0</x:v>
      </x:c>
      <x:c r="I651" s="11" t="str">
        <x:v>Keyword extraction only. Read page image and full context before promoting. English search cannot exclude Sinhala/Tamil or image-only content.</x:v>
      </x:c>
    </x:row>
    <x:row r="652" ht="602" customHeight="1">
      <x:c r="A652" s="8" t="str">
        <x:v>C00651</x:v>
      </x:c>
      <x:c r="B652" s="8" t="str">
        <x:v>SRC_0099</x:v>
      </x:c>
      <x:c r="C652" s="8" t="str">
        <x:v>cityofColombo.pdf</x:v>
      </x:c>
      <x:c r="D652" s="18" t="n">
        <x:v>46</x:v>
      </x:c>
      <x:c r="E652" s="8" t="str">
        <x:v>bathroom, light and ventilation, staircase</x:v>
      </x:c>
      <x:c r="F652" s="8" t="str">
        <x:v>45 Stores, garages, etc. in residential buildings Water closets, toilets and bathrooms Schools Hospitals Staircase, corridors and lobby Parking Factories, warehouses and godowns Terrace houses Adjoining rooms (c) 10% of the floor space of the room of which 50% shall have openings so as to allow free uninterrupted passage of air, if such room is used as a store, pantry, utility room, garage or the like in a residential building. (d) 10% of the floor space of the room or 0.2m2 (whichever is greater) of which 100% shall have openings so as to allow free uninterrupted passage of air, if such room is a water-closet, latrine, urinal, bathroom, t || Water closets, toilets and bathrooms Schools Hospitals Staircase, corridors and lobby Parking Factories, warehouses and godowns Terrace houses Adjoining rooms (c) 10% of the floor space of the room of which 50% shall have openings so as to allow free uninterrupted passage of air, if such room is used as a store, pantry, utility room, garage or the like in a residential building. (d) 10% of the floor space of the room or 0.2m2 (whichever is greater) of which 100% shall have openings so as to allow free uninterrupted passage of air, if such room is a water-closet, latrine, urinal, bathroom, toilet or laundry room; (e) 20% of the floor space of the room o || o as to allow free uninterrupted passage of air, if such room is a water-closet, latrine, urinal, bathroom, toilet or laundry room; (e) 20% of the floor space of the room of which at least 50 per cent shall have openings so as to allow free uninterrupted passage of air, if such room is used for the dissemination of knowledge in school; (f) 20% of the floor space of the room of which 100% shall have openings so as to allow free uninterrupted passage of air, if such room is used for the accommodation of patients in a hospital convalescence home, nursing home or the like. (g) 10% of the floor area per floor in the case of an enclose staircase, corridor or lobby of which 50 per cent shall have openings so as to allow a free uninter</x:v>
      </x:c>
      <x:c r="G652" s="8" t="str">
        <x:v>candidate_unreviewed</x:v>
      </x:c>
      <x:c r="H652" s="21" t="b">
        <x:v>0</x:v>
      </x:c>
      <x:c r="I652" s="8" t="str">
        <x:v>Keyword extraction only. Read page image and full context before promoting. English search cannot exclude Sinhala/Tamil or image-only content.</x:v>
      </x:c>
    </x:row>
    <x:row r="653" ht="98" customHeight="1">
      <x:c r="A653" s="11" t="str">
        <x:v>C00652</x:v>
      </x:c>
      <x:c r="B653" s="11" t="str">
        <x:v>SRC_0099</x:v>
      </x:c>
      <x:c r="C653" s="11" t="str">
        <x:v>cityofColombo.pdf</x:v>
      </x:c>
      <x:c r="D653" s="22" t="n">
        <x:v>47</x:v>
      </x:c>
      <x:c r="E653" s="11" t="str">
        <x:v>minimum width</x:v>
      </x:c>
      <x:c r="F653" s="11" t="str">
        <x:v>of the Protection of the Rights of Persons with Disabilities Act, No. 28 of 1996. No of floors Minimum width Minimum Area only for court yards &amp; air wells 1-2 2.3 m. 06 sq.m. 3-4 3.0 m. 12 sq.m. 5-7 4.0 m. 20 sq.m. 8-9 6.0 m. 36 sq.m. 10 &amp; above 6.0 m. *</x:v>
      </x:c>
      <x:c r="G653" s="11" t="str">
        <x:v>candidate_unreviewed</x:v>
      </x:c>
      <x:c r="H653" s="24" t="b">
        <x:v>0</x:v>
      </x:c>
      <x:c r="I653" s="11" t="str">
        <x:v>Keyword extraction only. Read page image and full context before promoting. English search cannot exclude Sinhala/Tamil or image-only content.</x:v>
      </x:c>
    </x:row>
    <x:row r="654" ht="196" customHeight="1">
      <x:c r="A654" s="8" t="str">
        <x:v>C00653</x:v>
      </x:c>
      <x:c r="B654" s="8" t="str">
        <x:v>SRC_0099</x:v>
      </x:c>
      <x:c r="C654" s="8" t="str">
        <x:v>cityofColombo.pdf</x:v>
      </x:c>
      <x:c r="D654" s="18" t="n">
        <x:v>49</x:v>
      </x:c>
      <x:c r="E654" s="8" t="str">
        <x:v>staircase</x:v>
      </x:c>
      <x:c r="F654" s="8" t="str">
        <x:v>paragraph (2) of regulation 62, mechanical ventilation shall - (a) be provided in every room, staircase, corridor or lobby where the relevant requirements for natural ventilation under these regulations are not met; (b) in other cases, be provided in accordance with the other provisions of these regulations or as may be required by the Authority. 64. Plans for the installation, extension or alteration of an air- conditioning, mechanical ventilation or other ventilation system shall be prepared by a qualified person and submitted to the Authority for approval in accordance with the relevant provisions of these Regulations.</x:v>
      </x:c>
      <x:c r="G654" s="8" t="str">
        <x:v>candidate_unreviewed</x:v>
      </x:c>
      <x:c r="H654" s="21" t="b">
        <x:v>0</x:v>
      </x:c>
      <x:c r="I654" s="8" t="str">
        <x:v>Keyword extraction only. Read page image and full context before promoting. English search cannot exclude Sinhala/Tamil or image-only content.</x:v>
      </x:c>
    </x:row>
    <x:row r="655" ht="238" customHeight="1">
      <x:c r="A655" s="11" t="str">
        <x:v>C00654</x:v>
      </x:c>
      <x:c r="B655" s="11" t="str">
        <x:v>SRC_0099</x:v>
      </x:c>
      <x:c r="C655" s="11" t="str">
        <x:v>cityofColombo.pdf</x:v>
      </x:c>
      <x:c r="D655" s="22" t="n">
        <x:v>52</x:v>
      </x:c>
      <x:c r="E655" s="11" t="str">
        <x:v>light and ventilation</x:v>
      </x:c>
      <x:c r="F655" s="11" t="str">
        <x:v>“air well” means any space within or outside the building for the purpose of obtaining natural light and ventilation. Outside the building is the space within that lot of land, enclose by one or more faces of such building or one or more boundaries of such lot. “amendment Plan” means a plan showing any deviation from or amendments of or addition to an approved plan of a building, or any land subdivision for the occupation of which a certificate of conformity has not been issued. “approved” means approved by the Urban Development Authority or the relevant Local Authority, under the authority delegated by UDA. “approved on a temporary permit” means approved for such limited period as may be specified by the UDA or any Local Authority in the</x:v>
      </x:c>
      <x:c r="G655" s="11" t="str">
        <x:v>candidate_unreviewed</x:v>
      </x:c>
      <x:c r="H655" s="24" t="b">
        <x:v>0</x:v>
      </x:c>
      <x:c r="I655" s="11" t="str">
        <x:v>Keyword extraction only. Read page image and full context before promoting. English search cannot exclude Sinhala/Tamil or image-only content.</x:v>
      </x:c>
    </x:row>
    <x:row r="656" ht="224" customHeight="1">
      <x:c r="A656" s="8" t="str">
        <x:v>C00655</x:v>
      </x:c>
      <x:c r="B656" s="8" t="str">
        <x:v>SRC_0099</x:v>
      </x:c>
      <x:c r="C656" s="8" t="str">
        <x:v>cityofColombo.pdf</x:v>
      </x:c>
      <x:c r="D656" s="18" t="n">
        <x:v>55</x:v>
      </x:c>
      <x:c r="E656" s="8" t="str">
        <x:v>bathroom</x:v>
      </x:c>
      <x:c r="F656" s="8" t="str">
        <x:v>used wholly or principally for human habitation for a single family, where the kitchen, lavatory, bathroom or water-closet are contained within the separate dwelling and that dwelling is contained in a building comprising two or more such dwelling joined vertically; “flexible joints” means connections between ducts and equipment normally provided to prevent vibration and to allow for thermal movement; “flexible connection” means connection at the extremity of ventilation ductwork connecting terminal units, extract units and grills; “flood level” means such flood level as may be specified for an area by the Department of Irrigation or Sri Lanka Land Reclamation &amp; Development Corporation for the purposes of these regulations.</x:v>
      </x:c>
      <x:c r="G656" s="8" t="str">
        <x:v>candidate_unreviewed</x:v>
      </x:c>
      <x:c r="H656" s="21" t="b">
        <x:v>0</x:v>
      </x:c>
      <x:c r="I656" s="8" t="str">
        <x:v>Keyword extraction only. Read page image and full context before promoting. English search cannot exclude Sinhala/Tamil or image-only content.</x:v>
      </x:c>
    </x:row>
    <x:row r="657" ht="224" customHeight="1">
      <x:c r="A657" s="11" t="str">
        <x:v>C00656</x:v>
      </x:c>
      <x:c r="B657" s="11" t="str">
        <x:v>SRC_0099</x:v>
      </x:c>
      <x:c r="C657" s="11" t="str">
        <x:v>cityofColombo.pdf</x:v>
      </x:c>
      <x:c r="D657" s="22" t="n">
        <x:v>57</x:v>
      </x:c>
      <x:c r="E657" s="11" t="str">
        <x:v>habitable room</x:v>
      </x:c>
      <x:c r="F657" s="11" t="str">
        <x:v>of the wall to its highest part or, in the case of a gable, to half the height of the gable; “habitable room” means any room not less than 8.0m2 in area but does not include any bathrobe, water-closet, open verandah, terrace or garage; “hospital” means a building or part thereof designed, adapted or used for the care of treatment of the sick, infirm, aged, convalescent or pregnant; “hotel” means a building specially designed and constructed or substantially adapted to be used to accommodate persons for the purpose of gain or profit, with or without arrangements for communal feeding. “housing accommodation” include a building or tenement wholly or principally constructed, adapted, for human habitation or for human habitation and a</x:v>
      </x:c>
      <x:c r="G657" s="11" t="str">
        <x:v>candidate_unreviewed</x:v>
      </x:c>
      <x:c r="H657" s="24" t="b">
        <x:v>0</x:v>
      </x:c>
      <x:c r="I657" s="11" t="str">
        <x:v>Keyword extraction only. Read page image and full context before promoting. English search cannot exclude Sinhala/Tamil or image-only content.</x:v>
      </x:c>
    </x:row>
    <x:row r="658" ht="224" customHeight="1">
      <x:c r="A658" s="8" t="str">
        <x:v>C00657</x:v>
      </x:c>
      <x:c r="B658" s="8" t="str">
        <x:v>SRC_0099</x:v>
      </x:c>
      <x:c r="C658" s="8" t="str">
        <x:v>cityofColombo.pdf</x:v>
      </x:c>
      <x:c r="D658" s="18" t="n">
        <x:v>61</x:v>
      </x:c>
      <x:c r="E658" s="8" t="str">
        <x:v>bathroom</x:v>
      </x:c>
      <x:c r="F658" s="8" t="str">
        <x:v>f a building enclose by walls or partitions. “sanitary facilities” include toilets, wash-basins, bathrooms, sinks and facilities for washing clothes which connect, directly or otherwise with a private sewage treatment plant or with a public sewerage system. “school” means a building or part thereof designed, adapted or used for the dissemination of knowledge; “services garage” include a building or part thereof, used for the repairing, painting, washing of motor vehicle; “sewage” means any liquid waste and include water-borne sullage and trade effluent; “sewerage system” means any sewer, drain line, cess-pit, septic tank, treatment plant, or any appurtenance thereof; “shop pr shopping centre” means a building or part the</x:v>
      </x:c>
      <x:c r="G658" s="8" t="str">
        <x:v>candidate_unreviewed</x:v>
      </x:c>
      <x:c r="H658" s="21" t="b">
        <x:v>0</x:v>
      </x:c>
      <x:c r="I658" s="8" t="str">
        <x:v>Keyword extraction only. Read page image and full context before promoting. English search cannot exclude Sinhala/Tamil or image-only content.</x:v>
      </x:c>
    </x:row>
    <x:row r="659" ht="196" customHeight="1">
      <x:c r="A659" s="11" t="str">
        <x:v>C00658</x:v>
      </x:c>
      <x:c r="B659" s="11" t="str">
        <x:v>SRC_0099</x:v>
      </x:c>
      <x:c r="C659" s="11" t="str">
        <x:v>cityofColombo.pdf</x:v>
      </x:c>
      <x:c r="D659" s="22" t="n">
        <x:v>62</x:v>
      </x:c>
      <x:c r="E659" s="11" t="str">
        <x:v>staircase</x:v>
      </x:c>
      <x:c r="F659" s="11" t="str">
        <x:v>t of a building” include the roof, column or main post, beam, foundation, wall suspended floor, or staircase of a building but not include a door, window or internal partition thereof; “superimposed load or superimposed loading” means all loading other than dead loading; “temporary building” means a building which is permitted by the Authority to remain for a specified period at the expiration of which the building shall be demolished. “terrace house” means a residential building designed as single dwelling unit and forming part of a row or terrace of not less than three such residential building;</x:v>
      </x:c>
      <x:c r="G659" s="11" t="str">
        <x:v>candidate_unreviewed</x:v>
      </x:c>
      <x:c r="H659" s="24" t="b">
        <x:v>0</x:v>
      </x:c>
      <x:c r="I659" s="11" t="str">
        <x:v>Keyword extraction only. Read page image and full context before promoting. English search cannot exclude Sinhala/Tamil or image-only content.</x:v>
      </x:c>
    </x:row>
    <x:row r="660" ht="196" customHeight="1">
      <x:c r="A660" s="8" t="str">
        <x:v>C00659</x:v>
      </x:c>
      <x:c r="B660" s="8" t="str">
        <x:v>SRC_0099</x:v>
      </x:c>
      <x:c r="C660" s="8" t="str">
        <x:v>cityofColombo.pdf</x:v>
      </x:c>
      <x:c r="D660" s="18" t="n">
        <x:v>65</x:v>
      </x:c>
      <x:c r="E660" s="8" t="str">
        <x:v>minimum width</x:v>
      </x:c>
      <x:c r="F660" s="8" t="str">
        <x:v>Parking Area  When a parking area is provided, one or more parking spaces for wheelchair users (minimum width: 35 cm) shall be provided.  The said space shall be located close to the entrance/exit of the parking area. Passageways on the Building Site  A passageway leading to one entrance/exit in the building shall be such that it can be used by wheelchair users, and provision shall be made for the guidance of visually impaired persons.  Its width shall be 120 cm or more and where there is a level difference, a slope way etc. shall be provided  Guide blocks etc. shall be installed for the use of visually impaired persons.</x:v>
      </x:c>
      <x:c r="G660" s="8" t="str">
        <x:v>candidate_unreviewed</x:v>
      </x:c>
      <x:c r="H660" s="21" t="b">
        <x:v>0</x:v>
      </x:c>
      <x:c r="I660" s="8" t="str">
        <x:v>Keyword extraction only. Read page image and full context before promoting. English search cannot exclude Sinhala/Tamil or image-only content.</x:v>
      </x:c>
    </x:row>
    <x:row r="661" ht="140" customHeight="1">
      <x:c r="A661" s="11" t="str">
        <x:v>C00660</x:v>
      </x:c>
      <x:c r="B661" s="11" t="str">
        <x:v>SRC_0099</x:v>
      </x:c>
      <x:c r="C661" s="11" t="str">
        <x:v>cityofColombo.pdf</x:v>
      </x:c>
      <x:c r="D661" s="22" t="n">
        <x:v>68</x:v>
      </x:c>
      <x:c r="E661" s="11" t="str">
        <x:v>minimum width</x:v>
      </x:c>
      <x:c r="F661" s="11" t="str">
        <x:v>5 Commercial (Two Axle) 3.6 10.0 12.0 Commercial (Multi Axle) 3.6 18.0 20.0 (v) The minimum width of aisles shall conform to the requirements as given below: Parking Angle Degrees One way Traffic one sided bays(meters) One way Traffic Two sided bays (meters) Two way Traffic (meters) 00 deg. Parallel 3.6 3.6 6.0 30 deg. Angle 3.6 4.2 6.0 45 deg. Angle 4.2 4.8 6.2 60 deg. Angle 4.8 4.8 6.4 90 deg. Angle 6.0 6.0 7.2</x:v>
      </x:c>
      <x:c r="G661" s="11" t="str">
        <x:v>candidate_unreviewed</x:v>
      </x:c>
      <x:c r="H661" s="24" t="b">
        <x:v>0</x:v>
      </x:c>
      <x:c r="I661" s="11" t="str">
        <x:v>Keyword extraction only. Read page image and full context before promoting. English search cannot exclude Sinhala/Tamil or image-only content.</x:v>
      </x:c>
    </x:row>
    <x:row r="662" ht="322" customHeight="1">
      <x:c r="A662" s="8" t="str">
        <x:v>C00661</x:v>
      </x:c>
      <x:c r="B662" s="8" t="str">
        <x:v>SRC_0099</x:v>
      </x:c>
      <x:c r="C662" s="8" t="str">
        <x:v>cityofColombo.pdf</x:v>
      </x:c>
      <x:c r="D662" s="18" t="n">
        <x:v>82</x:v>
      </x:c>
      <x:c r="E662" s="8" t="str">
        <x:v>bed room, plot coverage</x:v>
      </x:c>
      <x:c r="F662" s="8" t="str">
        <x:v>.1(a) i. Dwelling Houses/Units, Apartment Buildings ii. Hotels - each having not more than 10 bed rooms within a site extent exceeding 1000 sq.m. iii. Restaurant, Banks – each within a site extent exceeding 1000 sq.m. iv. Professional offices – each having a net floor area not exceeding 500 sq.m. and each within sites of extent exceeding 500 sq.m. v. Educational Institutions – Pre-School and Primary Schools each within sites of extent exceeding 1000sq.m. and 0.5 ha. Respectively. vi. Customer Care Services – Barber shops, Beauty salons and allied activities, each have a net floor area not exceeding 100 sq.m. vii. Retail shops – each having a net floor area not exceeding 50 sq.m. viii. Places of Religious Worship – each || .- three storey - (G+2) Plot size – 300 - 499 sq.m. - four storey - (G+3) 4.1(c) Maximum Plot Coverage - 65% 4.1(d) Other Specifications: - Subdivision of a lot having an extent of 500 sq.m. or more, may be permitted for the construction of a Terrace house subject to the following conditions: - i. The building shall be divided among the owners by</x:v>
      </x:c>
      <x:c r="G662" s="8" t="str">
        <x:v>candidate_unreviewed</x:v>
      </x:c>
      <x:c r="H662" s="21" t="b">
        <x:v>0</x:v>
      </x:c>
      <x:c r="I662" s="8" t="str">
        <x:v>Keyword extraction only. Read page image and full context before promoting. English search cannot exclude Sinhala/Tamil or image-only content.</x:v>
      </x:c>
    </x:row>
    <x:row r="663" ht="224" customHeight="1">
      <x:c r="A663" s="11" t="str">
        <x:v>C00662</x:v>
      </x:c>
      <x:c r="B663" s="11" t="str">
        <x:v>SRC_0099</x:v>
      </x:c>
      <x:c r="C663" s="11" t="str">
        <x:v>cityofColombo.pdf</x:v>
      </x:c>
      <x:c r="D663" s="22" t="n">
        <x:v>83</x:v>
      </x:c>
      <x:c r="E663" s="11" t="str">
        <x:v>plot coverage</x:v>
      </x:c>
      <x:c r="F663" s="11" t="str">
        <x:v>ions of the Authority. 4.1(e) i. If the site extent is 2500 sq.m. or more the maximum plot coverage shall be 50% of such lot &amp; the specifications for development given in from C1 &amp; C2 may be applicable for such development. ii. a) A preliminary planning clearance shall be obtained from the Authority prior to any such development activity is carried out. b) A survey plan shall accompany the preliminary planning clearance applications marking all the large trees with an indication of species within the site, in order to preserve as many trees as possible. c) A subcommittee of the Planning Committee, consisting of a Qualified Town Planner, Chartered Architect, Landscape Architect and a Civil Engineer to be appointed to recomm</x:v>
      </x:c>
      <x:c r="G663" s="11" t="str">
        <x:v>candidate_unreviewed</x:v>
      </x:c>
      <x:c r="H663" s="24" t="b">
        <x:v>0</x:v>
      </x:c>
      <x:c r="I663" s="11" t="str">
        <x:v>Keyword extraction only. Read page image and full context before promoting. English search cannot exclude Sinhala/Tamil or image-only content.</x:v>
      </x:c>
    </x:row>
    <x:row r="664" ht="210" customHeight="1">
      <x:c r="A664" s="8" t="str">
        <x:v>C00663</x:v>
      </x:c>
      <x:c r="B664" s="8" t="str">
        <x:v>SRC_0099</x:v>
      </x:c>
      <x:c r="C664" s="8" t="str">
        <x:v>cityofColombo.pdf</x:v>
      </x:c>
      <x:c r="D664" s="18" t="n">
        <x:v>84</x:v>
      </x:c>
      <x:c r="E664" s="8" t="str">
        <x:v>plot coverage</x:v>
      </x:c>
      <x:c r="F664" s="8" t="str">
        <x:v>ations 4.2(b) Minimum Plot Size - As per From C1 &amp; C2 4.2(c) Maximum Plot coverage - As per From C1 &amp; C2 4.2(d) Maximum Floor Area Ratio (FAR) - As per From C1 &amp; C2 4.2(e) Service Charges In lieu of Vehicle Parking Service charges shall not be accepted in lieu of car parking for any of the permissible uses or for any change of use of residential buildings within this Zone. 4.2(f) Masonry Boundary Walls Heights of Masonry Boundary Walls facing access roads are permitted to a maximum height of 1.0m from the ground level. Fences or hedges may be permitted, above the masonry boundary wall. Permissible uses in Special Mixed Residential Zone 4.3(a) i. Dwelling House/Units,</x:v>
      </x:c>
      <x:c r="G664" s="8" t="str">
        <x:v>candidate_unreviewed</x:v>
      </x:c>
      <x:c r="H664" s="21" t="b">
        <x:v>0</x:v>
      </x:c>
      <x:c r="I664" s="8" t="str">
        <x:v>Keyword extraction only. Read page image and full context before promoting. English search cannot exclude Sinhala/Tamil or image-only content.</x:v>
      </x:c>
    </x:row>
    <x:row r="665" ht="210" customHeight="1">
      <x:c r="A665" s="11" t="str">
        <x:v>C00664</x:v>
      </x:c>
      <x:c r="B665" s="11" t="str">
        <x:v>SRC_0099</x:v>
      </x:c>
      <x:c r="C665" s="11" t="str">
        <x:v>cityofColombo.pdf</x:v>
      </x:c>
      <x:c r="D665" s="22" t="n">
        <x:v>85</x:v>
      </x:c>
      <x:c r="E665" s="11" t="str">
        <x:v>plot coverage</x:v>
      </x:c>
      <x:c r="F665" s="11" t="str">
        <x:v>4.3(b) Minimum Plot Size - As per From C1 &amp; C2 4.3(c) Maximum Plot Coverage - As per From C1 &amp; C2 4.3(d) Maximum Floor Area Ratio (FAR) - As per From C1 &amp; C2 4.3(e) Service Charges In lieu of Vehicle Parking Service charges shall not be accepted in lieu of car parking for any of the permissible uses or for any change of use of residential buildings. 4.3(f) Masonry Boundary Walls Heights of Masonry Boundary Walls facing access roads are permitted to a maximum height of 1.0m from the ground level. Fences or hedges may be permitted, above the masonry boundary wall. Permissible uses in Sea Front zone 4.4(a) i. Dwelling House/Units, Apartment Buildings ii. Ban</x:v>
      </x:c>
      <x:c r="G665" s="11" t="str">
        <x:v>candidate_unreviewed</x:v>
      </x:c>
      <x:c r="H665" s="24" t="b">
        <x:v>0</x:v>
      </x:c>
      <x:c r="I665" s="11" t="str">
        <x:v>Keyword extraction only. Read page image and full context before promoting. English search cannot exclude Sinhala/Tamil or image-only content.</x:v>
      </x:c>
    </x:row>
    <x:row r="666" ht="182" customHeight="1">
      <x:c r="A666" s="8" t="str">
        <x:v>C00665</x:v>
      </x:c>
      <x:c r="B666" s="8" t="str">
        <x:v>SRC_0099</x:v>
      </x:c>
      <x:c r="C666" s="8" t="str">
        <x:v>cityofColombo.pdf</x:v>
      </x:c>
      <x:c r="D666" s="18" t="n">
        <x:v>86</x:v>
      </x:c>
      <x:c r="E666" s="8" t="str">
        <x:v>plot coverage</x:v>
      </x:c>
      <x:c r="F666" s="8" t="str">
        <x:v>85 4.4(c) Maximum Plot Coverage for lots of 500 sq.m. or more - 50% of the lot 4.4(d) Maximum Floor Area Ratio (FAR) - As per From C1 &amp; C2 4.4(e) Service Charges In lieu of Vehicle Parking Service charges shall not be accepted in lieu of car parking for any of the permissible uses or for any change of use of residential buildings within this Zone. 4.4(f) Masonry Boundary Walls Heights of Masonry Boundary Walls facing access roads are permitted to a height of 1.0 m from the ground level. Fences or hedges are permitted, above the masonry boundary wall. Permissible uses in Mixed</x:v>
      </x:c>
      <x:c r="G666" s="8" t="str">
        <x:v>candidate_unreviewed</x:v>
      </x:c>
      <x:c r="H666" s="21" t="b">
        <x:v>0</x:v>
      </x:c>
      <x:c r="I666" s="8" t="str">
        <x:v>Keyword extraction only. Read page image and full context before promoting. English search cannot exclude Sinhala/Tamil or image-only content.</x:v>
      </x:c>
    </x:row>
    <x:row r="667" ht="602" customHeight="1">
      <x:c r="A667" s="11" t="str">
        <x:v>C00666</x:v>
      </x:c>
      <x:c r="B667" s="11" t="str">
        <x:v>SRC_0099</x:v>
      </x:c>
      <x:c r="C667" s="11" t="str">
        <x:v>cityofColombo.pdf</x:v>
      </x:c>
      <x:c r="D667" s="22" t="n">
        <x:v>87</x:v>
      </x:c>
      <x:c r="E667" s="11" t="str">
        <x:v>minimum width, plot coverage</x:v>
      </x:c>
      <x:c r="F667" s="11" t="str">
        <x:v>ove iv. Service charges in lieu of required regulatory car parking will not be accepted v. The minimum width of the street shall be 12 m 4.5(c) Minimum Plot coverage - As per From C1 &amp; C2 4.5(d) Maximum Plot Coverage - As per From C1 &amp; C2 4.5(e) Maximum Floor Area Ratio (FAR) - As per From C1 &amp; C2 4.5(f) Masonry Boundary Walls Heights of Masonry Boundary Walls along roads running perpendicular to Galle Road shall not be more than 1.0 m from the ground Level. Fences or hedges are permitted, above the masonry boundary wall. Permissible uses in Port Related Activity Zone 4.6(a) i. Port Related Activities – Warehouse, Container Yard, Value Addition (non-polluting) Industries, Power Su || arking will not be accepted v. The minimum width of the street shall be 12 m 4.5(c) Minimum Plot coverage - As per From C1 &amp; C2 4.5(d) Maximum Plot Coverage - As per From C1 &amp; C2 4.5(e) Maximum Floor Area Ratio (FAR) - As per From C1 &amp; C2 4.5(f) Masonry Boundary Walls Heights of Masonry Boundary Walls along roads running perpendicular to Galle Road shall not be more than 1.0 m from the ground Level. Fences or hedges are permitted, above the masonry boundary wall. Permissible uses in Port Related Activity Zone 4.6(a) i. Port Related Activities – Warehouse, Container Yard, Value Addition (non-polluting) Industries, Power Supply Establishment and allied activities ii. Banks and Office || ll be 12 m 4.5(c) Minimum Plot coverage - As per From C1 &amp; C2 4.5(d) Maximum Plot Coverage - As per From C1 &amp; C2 4.5(e) Maximum Floor Area Ratio (FAR) - As per From C1 &amp; C2 4.5(f) Masonry Boundary Walls Heights of Masonry Boundary Walls along roads running perpendicular to Galle Road shall not be more than 1.0 m from the ground Level. Fences or hedges are permitted, above the masonry boundary wall. Permissible uses in Port Related Activity Zone 4.6(a) i. Port Related Activities – Warehouse, Container Yard, Value Addition (non-polluting) Industries, Power Supply Establishment and allied activities ii. Banks and Offices iii. Departmental Stores, Wholesale shops, Supermarkets and Ret</x:v>
      </x:c>
      <x:c r="G667" s="11" t="str">
        <x:v>candidate_unreviewed</x:v>
      </x:c>
      <x:c r="H667" s="24" t="b">
        <x:v>0</x:v>
      </x:c>
      <x:c r="I667" s="11" t="str">
        <x:v>Keyword extraction only. Read page image and full context before promoting. English search cannot exclude Sinhala/Tamil or image-only content.</x:v>
      </x:c>
    </x:row>
    <x:row r="668" ht="574" customHeight="1">
      <x:c r="A668" s="8" t="str">
        <x:v>C00667</x:v>
      </x:c>
      <x:c r="B668" s="8" t="str">
        <x:v>SRC_0099</x:v>
      </x:c>
      <x:c r="C668" s="8" t="str">
        <x:v>cityofColombo.pdf</x:v>
      </x:c>
      <x:c r="D668" s="18" t="n">
        <x:v>88</x:v>
      </x:c>
      <x:c r="E668" s="8" t="str">
        <x:v>minimum width, plot coverage</x:v>
      </x:c>
      <x:c r="F668" s="8" t="str">
        <x:v>iv. Service charges in lieu of required regulatory Vehicle parking will not be accepted v. The minimum width of the access street shall be 12 m 4.6(c) Specification for Port Related Activities i. The Minimum lot size shall be 600 sq.m. for the uses specified under item 4.6 (a)(ⅰ) of port Related Activities ii. 3.0 m buffer Zone to be reserved around the site in order to mitigate pollution iii. The minimum width of the street shall be 12m for activities specified under item 4.6 (a)(ⅰ) of port Related Activities. iv. Any such activity shall not hinder traffic movement and create traffic problems. 4.6(d) Minimum Plot size - As per From C1 &amp; C2 except fo || s ii. 3.0 m buffer Zone to be reserved around the site in order to mitigate pollution iii. The minimum width of the street shall be 12m for activities specified under item 4.6 (a)(ⅰ) of port Related Activities. iv. Any such activity shall not hinder traffic movement and create traffic problems. 4.6(d) Minimum Plot size - As per From C1 &amp; C2 except for port Related Activities. 4.6(e) Maximum Plot Coverage - As per From C1 &amp; C2 4.6(f) Maximum Floor Area Ratio (FAR) - As per From C1 &amp; C2 Permissible uses in Commercial Zone 4.7(a) i. Diplomatic Embassies (Chanceries) ii. Banks and Offices, Departmental Stores, Wholesale Shops, Superm || for port Related Activities. 4.6(e) Maximum Plot Coverage - As per From C1 &amp; C2 4.6(f) Maximum Floor Area Ratio (FAR) - As per From C1 &amp; C2 Permissible uses in Commercial Zone 4.7(a) i. Diplomatic Embassies (Chanceries) ii. Banks and Offices, Departmental Stores, Wholesale Shops, Supermarket and Retail Shops. iii. Customer Care Services – Baber Shops, Beauty Salons and allied activities. iv. Service Activities – Bakeries, Laundries, Automobile Repair, Printing Presses, Vehicle Service Stations and allied Activities, subject to regulatory requirements of Central Environmental Authority, where necessary. v. Hotels and Restaurants vi. Dwelling House/Units, Apartm</x:v>
      </x:c>
      <x:c r="G668" s="8" t="str">
        <x:v>candidate_unreviewed</x:v>
      </x:c>
      <x:c r="H668" s="21" t="b">
        <x:v>0</x:v>
      </x:c>
      <x:c r="I668" s="8" t="str">
        <x:v>Keyword extraction only. Read page image and full context before promoting. English search cannot exclude Sinhala/Tamil or image-only content.</x:v>
      </x:c>
    </x:row>
    <x:row r="669" ht="406" customHeight="1">
      <x:c r="A669" s="11" t="str">
        <x:v>C00668</x:v>
      </x:c>
      <x:c r="B669" s="11" t="str">
        <x:v>SRC_0099</x:v>
      </x:c>
      <x:c r="C669" s="11" t="str">
        <x:v>cityofColombo.pdf</x:v>
      </x:c>
      <x:c r="D669" s="22" t="n">
        <x:v>89</x:v>
      </x:c>
      <x:c r="E669" s="11" t="str">
        <x:v>minimum width, plot coverage</x:v>
      </x:c>
      <x:c r="F669" s="11" t="str">
        <x:v>iv. Service charges in lieu of required regulatory Vehicle parking will not be accepted v. The minimum width of the street shall be 12 m 4.7(c) 4.7(d) Minimum Plot Size - As per From C1 &amp; C2 Maximum Plot Coverage - As per From C1 &amp; C2 4.7(e) Maximum Floor Area Ratio (FAR) – As per From C1 &amp; C2 Permissible uses in Concentrated Development Zone 4.8(a) i. Diplomatic Embassies (Chanceries) ii. Banks and Offices and Retail Shops iii. Hotels and Restaurants iv. Dwelling House/Units, Apartment Buildings v. Health Institutions vi. Educational Institutions vii. Open Air Trading Areas viii. Customer Care Services – Baber Shops, Beauty Salons and allied activities ix. Indoor Amuse || 12 m 4.7(c) 4.7(d) Minimum Plot Size - As per From C1 &amp; C2 Maximum Plot Coverage - As per From C1 &amp; C2 4.7(e) Maximum Floor Area Ratio (FAR) – As per From C1 &amp; C2 Permissible uses in Concentrated Development Zone 4.8(a) i. Diplomatic Embassies (Chanceries) ii. Banks and Offices and Retail Shops iii. Hotels and Restaurants iv. Dwelling House/Units, Apartment Buildings v. Health Institutions vi. Educational Institutions vii. Open Air Trading Areas viii. Customer Care Services – Baber Shops, Beauty Salons and allied activities ix. Indoor Amusement and Entertainment Establishments x. Places of Public Worship – each within sites extent of not less than 500 sq.m. xi. Soci</x:v>
      </x:c>
      <x:c r="G669" s="11" t="str">
        <x:v>candidate_unreviewed</x:v>
      </x:c>
      <x:c r="H669" s="24" t="b">
        <x:v>0</x:v>
      </x:c>
      <x:c r="I669" s="11" t="str">
        <x:v>Keyword extraction only. Read page image and full context before promoting. English search cannot exclude Sinhala/Tamil or image-only content.</x:v>
      </x:c>
    </x:row>
    <x:row r="670" ht="574" customHeight="1">
      <x:c r="A670" s="8" t="str">
        <x:v>C00669</x:v>
      </x:c>
      <x:c r="B670" s="8" t="str">
        <x:v>SRC_0099</x:v>
      </x:c>
      <x:c r="C670" s="8" t="str">
        <x:v>cityofColombo.pdf</x:v>
      </x:c>
      <x:c r="D670" s="18" t="n">
        <x:v>90</x:v>
      </x:c>
      <x:c r="E670" s="8" t="str">
        <x:v>minimum width, plot coverage</x:v>
      </x:c>
      <x:c r="F670" s="8" t="str">
        <x:v>ove iv. Service charges in lieu of required regulatory Car parking will not be accepted v. The minimum width of the street shall be 12 m 4.8(c) Minimum Plot Size - As per From C1 &amp; C2 4.8(d) Maximum Plot Coverage - As per From C1 &amp; C2 4.8(e) Maximum Floor Area Ratio (FAR) - As per item (ⅰ) &amp; item (ⅱ) bellow :- Minimum Land Extent (sq.m.) Minimum width between building lines of a public Street/Road (m) Maximum permissible FAR 1500 less than 2000 22 10.0 1500 less than 2000 24 11.0 2000 and Above 24 Unlimited Permissible uses in Open Spaces 4.9(a) In the Open Spaces Zone, the following uses may be permitted. i. Parks and Playground ii. Fair and Exhibition Ground iii. Recreatio || all be 12 m 4.8(c) Minimum Plot Size - As per From C1 &amp; C2 4.8(d) Maximum Plot Coverage - As per From C1 &amp; C2 4.8(e) Maximum Floor Area Ratio (FAR) - As per item (ⅰ) &amp; item (ⅱ) bellow :- Minimum Land Extent (sq.m.) Minimum width between building lines of a public Street/Road (m) Maximum permissible FAR 1500 less than 2000 22 10.0 1500 less than 2000 24 11.0 2000 and Above 24 Unlimited Permissible uses in Open Spaces 4.9(a) In the Open Spaces Zone, the following uses may be permitted. i. Parks and Playground ii. Fair and Exhibition Ground iii. Recreation Club, Gymnasiums, Swimming Pools 4.9(b) The total floor area of building that may be permitted in this Zone shall not e || mum Floor Area Ratio (FAR) - As per item (ⅰ) &amp; item (ⅱ) bellow :- Minimum Land Extent (sq.m.) Minimum width between building lines of a public Street/Road (m) Maximum permissible FAR 1500 less than 2000 22 10.0 1500 less than 2000 24 11.0 2000 and Above 24 Unlimited Permissible uses in Open Spaces 4.9(a) In the Open Spaces Zone, the following uses may be permitted. i. Parks and Playground ii. Fair and Exhibition Ground iii. Recreation Club, Gymnasiums, Swimming Pools 4.9(b) The total floor area of building that may be permitted in this Zone shall not exceed 2% of the total open Space.</x:v>
      </x:c>
      <x:c r="G670" s="8" t="str">
        <x:v>candidate_unreviewed</x:v>
      </x:c>
      <x:c r="H670" s="21" t="b">
        <x:v>0</x:v>
      </x:c>
      <x:c r="I670" s="8" t="str">
        <x:v>Keyword extraction only. Read page image and full context before promoting. English search cannot exclude Sinhala/Tamil or image-only content.</x:v>
      </x:c>
    </x:row>
    <x:row r="671" ht="154" customHeight="1">
      <x:c r="A671" s="11" t="str">
        <x:v>C00670</x:v>
      </x:c>
      <x:c r="B671" s="11" t="str">
        <x:v>SRC_0099</x:v>
      </x:c>
      <x:c r="C671" s="11" t="str">
        <x:v>cityofColombo.pdf</x:v>
      </x:c>
      <x:c r="D671" s="22" t="n">
        <x:v>94</x:v>
      </x:c>
      <x:c r="E671" s="11" t="str">
        <x:v>plot coverage</x:v>
      </x:c>
      <x:c r="F671" s="11" t="str">
        <x:v>nce Square and Surroundings No Zone Minimum site extent (sq.m.) Maximum No. of Floors Plot Coverage Rear Space of the building (meters) Space on Other sides (meters) Residential Non- Residential 01 Zone Ⅰ Conservation Zone - - - - - - 02 Zone Ⅱ Leisure &amp; Recreational Zone 2000 G+2 - 10% 3.0 3.0 03 Zone Ⅲ (1) Facing Gregory’s Road (2)Rest of the area Zone Ⅲ 1000 G+3 G+2 50% - 50% 50% 3.0 3.0 3.0 3.0 04 Zone Ⅳ Cultural &amp; Amusement Zone 1000 G+2 - 50% 3.0 3.0</x:v>
      </x:c>
      <x:c r="G671" s="11" t="str">
        <x:v>candidate_unreviewed</x:v>
      </x:c>
      <x:c r="H671" s="24" t="b">
        <x:v>0</x:v>
      </x:c>
      <x:c r="I671" s="11" t="str">
        <x:v>Keyword extraction only. Read page image and full context before promoting. English search cannot exclude Sinhala/Tamil or image-only content.</x:v>
      </x:c>
    </x:row>
    <x:row r="672" ht="238" customHeight="1">
      <x:c r="A672" s="8" t="str">
        <x:v>C00671</x:v>
      </x:c>
      <x:c r="B672" s="8" t="str">
        <x:v>SRC_0101</x:v>
      </x:c>
      <x:c r="C672" s="8" t="str">
        <x:v>colombo_eng.pdf</x:v>
      </x:c>
      <x:c r="D672" s="18" t="n">
        <x:v>121</x:v>
      </x:c>
      <x:c r="E672" s="8" t="str">
        <x:v>plot coverage</x:v>
      </x:c>
      <x:c r="F672" s="8" t="str">
        <x:v>s road width is 9 m. It should also be subject to a minimum land extent of 500 sq.m and a maximum plot coverage is 65%. The maximum plot coverage for the sites of 2500 sq.m or more is regulated as 50%. Further, the permissible uses in this zone is defined for the purpose of promoting residential preferred uses and its compat­ ible uses. In addition, the only option for developers wishing to change residential use for commercial purposes is to apply for a ‘Change of Use Permit’ issued by the Urban Development Authority. However, this permit is valid for a period of one year and needs to be renewed annually. (b). Significance and Magnitude A survey conducted by the Urban Development Authority in 2012 revealed that as of 2012, there were 394 una</x:v>
      </x:c>
      <x:c r="G672" s="8" t="str">
        <x:v>candidate_unreviewed</x:v>
      </x:c>
      <x:c r="H672" s="21" t="b">
        <x:v>0</x:v>
      </x:c>
      <x:c r="I672" s="8" t="str">
        <x:v>Keyword extraction only. Read page image and full context before promoting. English search cannot exclude Sinhala/Tamil or image-only content.</x:v>
      </x:c>
    </x:row>
    <x:row r="673" ht="84" customHeight="1">
      <x:c r="A673" s="11" t="str">
        <x:v>C00672</x:v>
      </x:c>
      <x:c r="B673" s="11" t="str">
        <x:v>SRC_0101</x:v>
      </x:c>
      <x:c r="C673" s="11" t="str">
        <x:v>colombo_eng.pdf</x:v>
      </x:c>
      <x:c r="D673" s="22" t="n">
        <x:v>180</x:v>
      </x:c>
      <x:c r="E673" s="11" t="str">
        <x:v>minimum floor area</x:v>
      </x:c>
      <x:c r="F673" s="11" t="str">
        <x:v>maintain the development density at a lower value compared to other areas in the area. (Example: Minimum floor area allowed in the zone is 20 perches, maximum number of floors is 5). 02 S T R E N G ­ H T H S 02</x:v>
      </x:c>
      <x:c r="G673" s="11" t="str">
        <x:v>candidate_unreviewed</x:v>
      </x:c>
      <x:c r="H673" s="24" t="b">
        <x:v>0</x:v>
      </x:c>
      <x:c r="I673" s="11" t="str">
        <x:v>Keyword extraction only. Read page image and full context before promoting. English search cannot exclude Sinhala/Tamil or image-only content.</x:v>
      </x:c>
    </x:row>
    <x:row r="674" ht="644" customHeight="1">
      <x:c r="A674" s="8" t="str">
        <x:v>C00673</x:v>
      </x:c>
      <x:c r="B674" s="8" t="str">
        <x:v>SRC_0101</x:v>
      </x:c>
      <x:c r="C674" s="8" t="str">
        <x:v>colombo_eng.pdf</x:v>
      </x:c>
      <x:c r="D674" s="18" t="n">
        <x:v>315</x:v>
      </x:c>
      <x:c r="E674" s="8" t="str">
        <x:v>minimum width, plot coverage</x:v>
      </x:c>
      <x:c r="F674" s="8" t="str">
        <x:v>s for any development shall be fulfilled in accordance with Schedule VIII in Chapter 8.3. XI. The minimum width of an access road for land to be used for residen­ tial and the maximum number of lots that can be subdivided shall be in accordance with Schedule IX in Chapter 8.3. XII. The minimum width of the access road for non-residential developments shall be 9m. Industry having floor area of 1500Sq.m or more and stores/ warehouses having floor area of 2500Sq.m shall have minimum of 12m road in width. XIII. In cases where the development premises face more than one road having right of way with a minimum width of 6 m or more that connected to the main roads independently, the calculation of the permissible development may be considered while || r of lots that can be subdivided shall be in accordance with Schedule IX in Chapter 8.3. XII. The minimum width of the access road for non-residential developments shall be 9m. Industry having floor area of 1500Sq.m or more and stores/ warehouses having floor area of 2500Sq.m shall have minimum of 12m road in width. XIII. In cases where the development premises face more than one road having right of way with a minimum width of 6 m or more that connected to the main roads independently, the calculation of the permissible development may be considered while taking into account the total width of the access roads on a case-by-case basis. XIV. If the land within the street line (Sanctioned/provisional) is gifted for road without compensation, t || XIII. In cases where the development premises face more than one road having right of way with a minimum width of 6 m or more that connected to the main roads independently, the calculation of the permissible development may be considered while taking into account the total width of the access roads on a case-by-case basis. XIV. If the land within the street line (Sanctioned/provisional) is gifted for road without compensation, the total area of the land shall be counted for the permissible floor area ratio of the proposed development. But percentage of plot coverage shall be calculated according to the remaining land area except the part within the street line. XV. Plant species r</x:v>
      </x:c>
      <x:c r="G674" s="8" t="str">
        <x:v>candidate_unreviewed</x:v>
      </x:c>
      <x:c r="H674" s="21" t="b">
        <x:v>0</x:v>
      </x:c>
      <x:c r="I674" s="8" t="str">
        <x:v>Keyword extraction only. Read page image and full context before promoting. English search cannot exclude Sinhala/Tamil or image-only content.</x:v>
      </x:c>
    </x:row>
    <x:row r="675" ht="182" customHeight="1">
      <x:c r="A675" s="11" t="str">
        <x:v>C00674</x:v>
      </x:c>
      <x:c r="B675" s="11" t="str">
        <x:v>SRC_0101</x:v>
      </x:c>
      <x:c r="C675" s="11" t="str">
        <x:v>colombo_eng.pdf</x:v>
      </x:c>
      <x:c r="D675" s="22" t="n">
        <x:v>323</x:v>
      </x:c>
      <x:c r="E675" s="11" t="str">
        <x:v>setbacks</x:v>
      </x:c>
      <x:c r="F675" s="11" t="str">
        <x:v>As per the form “B” in schedule II and form “E” in Schedule III (Subject to Maximum of 65%) 8. Setbacks &amp; Maximum Height As per the form “B” in Schedule II and form “E” in Schedule III 9. Minimum land extent for sub division 150Sq.m 10. Permissible uses Principal use Permissible uses - (As per the form “H” in Schedule VI) Residential 1,2,3,4,5,6,7,8,9,10,11,12,13,14,15,1 6,17 Health 2,3,4,5,6,7,8,9,10,11 Office &amp; Institution 1,2,3,4,5,6,7,8 Commercial 1,2,3,4,5,6,7,8,9,10, 11,12,13,14,15,16,17,18,19 Chapter 08 Zoning Guidelines ⸺ Zoning Regulations Concentrated Mixed Development Zone</x:v>
      </x:c>
      <x:c r="G675" s="11" t="str">
        <x:v>candidate_unreviewed</x:v>
      </x:c>
      <x:c r="H675" s="24" t="b">
        <x:v>0</x:v>
      </x:c>
      <x:c r="I675" s="11" t="str">
        <x:v>Keyword extraction only. Read page image and full context before promoting. English search cannot exclude Sinhala/Tamil or image-only content.</x:v>
      </x:c>
    </x:row>
    <x:row r="676" ht="196" customHeight="1">
      <x:c r="A676" s="8" t="str">
        <x:v>C00675</x:v>
      </x:c>
      <x:c r="B676" s="8" t="str">
        <x:v>SRC_0101</x:v>
      </x:c>
      <x:c r="C676" s="8" t="str">
        <x:v>colombo_eng.pdf</x:v>
      </x:c>
      <x:c r="D676" s="18" t="n">
        <x:v>326</x:v>
      </x:c>
      <x:c r="E676" s="8" t="str">
        <x:v>setbacks</x:v>
      </x:c>
      <x:c r="F676" s="8" t="str">
        <x:v>As per the form “B” in schedule II and form “E” in Schedule III (Subject to Maximum of 65%) 8. Setbacks &amp; Maximum Height As per the form “B” in Schedule II and form “E” in Schedule III 9. Minimum land extent for sub division 150Sq.m 500Sq.m 10. Permissible uses Principal use Permissible uses - (As per the form “H” in Schedule VI) Residential 1,2,3,4,5,6,7,8,9,10,11,12,13,14,15,1 6,17 Health 2,3,4,5,6,7,8,9,10,11 Office &amp; Institution 1,2,3,4,5,6,7,8 Commercial 1,2,3,4,5,6,7,8,9,10, 11,12,13,14,15,16,17,18,19 Education 1,2*,3*,4*,5*,6,9,10,11,12 Chapter 08 Zoning Guidelines ⸺ Zoning Regulations Mixed Development Zone I</x:v>
      </x:c>
      <x:c r="G676" s="8" t="str">
        <x:v>candidate_unreviewed</x:v>
      </x:c>
      <x:c r="H676" s="21" t="b">
        <x:v>0</x:v>
      </x:c>
      <x:c r="I676" s="8" t="str">
        <x:v>Keyword extraction only. Read page image and full context before promoting. English search cannot exclude Sinhala/Tamil or image-only content.</x:v>
      </x:c>
    </x:row>
    <x:row r="677" ht="126" customHeight="1">
      <x:c r="A677" s="11" t="str">
        <x:v>C00676</x:v>
      </x:c>
      <x:c r="B677" s="11" t="str">
        <x:v>SRC_0101</x:v>
      </x:c>
      <x:c r="C677" s="11" t="str">
        <x:v>colombo_eng.pdf</x:v>
      </x:c>
      <x:c r="D677" s="22" t="n">
        <x:v>328</x:v>
      </x:c>
      <x:c r="E677" s="11" t="str">
        <x:v>setbacks</x:v>
      </x:c>
      <x:c r="F677" s="11" t="str">
        <x:v>For land having extent of 500Sq.m or more - 50% For land having extent less than 500Sq.m - 65% 8. Setbacks &amp; Maximum Height As per the form “B” in Schedule II and form “E” in Schedule III 9. Minimum land extent for sub division 500Sq.m 8.1.3. Sea Front Mixed Development Zone Chapter 08 Zoning Guidelines ⸺ Zoning Regulations Sea Front Mixed Development Zone</x:v>
      </x:c>
      <x:c r="G677" s="11" t="str">
        <x:v>candidate_unreviewed</x:v>
      </x:c>
      <x:c r="H677" s="24" t="b">
        <x:v>0</x:v>
      </x:c>
      <x:c r="I677" s="11" t="str">
        <x:v>Keyword extraction only. Read page image and full context before promoting. English search cannot exclude Sinhala/Tamil or image-only content.</x:v>
      </x:c>
    </x:row>
    <x:row r="678" ht="224" customHeight="1">
      <x:c r="A678" s="8" t="str">
        <x:v>C00677</x:v>
      </x:c>
      <x:c r="B678" s="8" t="str">
        <x:v>SRC_0101</x:v>
      </x:c>
      <x:c r="C678" s="8" t="str">
        <x:v>colombo_eng.pdf</x:v>
      </x:c>
      <x:c r="D678" s="18" t="n">
        <x:v>331</x:v>
      </x:c>
      <x:c r="E678" s="8" t="str">
        <x:v>setbacks</x:v>
      </x:c>
      <x:c r="F678" s="8" t="str">
        <x:v>e As per the form “B” in schedule II and form “E” in Schedule III (Subject to Maximum of 65%) 8. Setbacks &amp; Maximum Height As per the form “B” in Schedule II and form “E” in Schedule III 9. Minimum land extent for sub division 150Sq.m 10. Permissible uses Principal use Permissible uses – (As per the form “H” in Schedule VI) Residential 1,2,3,4,5,6,7,8,9,10,11,12,13,14,15,1 6,17 Health 2,3,4,5,6,7,8,9,10,11 Office &amp; Institution 1,2,3,4,5,6,7,8 Commercial 1,2,3,4,5,6,7,8,9,10, 11,12,13,14,15,16,17,18,19 Education 1,2*,3*,4*,5*,6,7,8,9,10,11,12 Customer Care Services 1,2,3,4,5 Tourism 1,2,3,4,5,6,7,8 Social Service &amp; Religious 1,2,3,4,5* Chapter 08 Zoning Guidelines ⸺ Zoning Regulations Concentrated Logistic Development Zone</x:v>
      </x:c>
      <x:c r="G678" s="8" t="str">
        <x:v>candidate_unreviewed</x:v>
      </x:c>
      <x:c r="H678" s="21" t="b">
        <x:v>0</x:v>
      </x:c>
      <x:c r="I678" s="8" t="str">
        <x:v>Keyword extraction only. Read page image and full context before promoting. English search cannot exclude Sinhala/Tamil or image-only content.</x:v>
      </x:c>
    </x:row>
    <x:row r="679" ht="112" customHeight="1">
      <x:c r="A679" s="11" t="str">
        <x:v>C00678</x:v>
      </x:c>
      <x:c r="B679" s="11" t="str">
        <x:v>SRC_0101</x:v>
      </x:c>
      <x:c r="C679" s="11" t="str">
        <x:v>colombo_eng.pdf</x:v>
      </x:c>
      <x:c r="D679" s="22" t="n">
        <x:v>334</x:v>
      </x:c>
      <x:c r="E679" s="11" t="str">
        <x:v>setbacks</x:v>
      </x:c>
      <x:c r="F679" s="11" t="str">
        <x:v>e As per the form “B” in schedule II and form “E” in Schedule III (Subject to Maximum of 65%) 8. Setbacks &amp; Maximum Height As per the form “B” in Schedule II and form “E” in Schedule III 9. Minimum land extent for sub division 150Sq.m Chapter 08 Zoning Guidelines ⸺ Zoning Regulations Promoted Mixed Development Zone</x:v>
      </x:c>
      <x:c r="G679" s="11" t="str">
        <x:v>candidate_unreviewed</x:v>
      </x:c>
      <x:c r="H679" s="24" t="b">
        <x:v>0</x:v>
      </x:c>
      <x:c r="I679" s="11" t="str">
        <x:v>Keyword extraction only. Read page image and full context before promoting. English search cannot exclude Sinhala/Tamil or image-only content.</x:v>
      </x:c>
    </x:row>
    <x:row r="680" ht="210" customHeight="1">
      <x:c r="A680" s="8" t="str">
        <x:v>C00679</x:v>
      </x:c>
      <x:c r="B680" s="8" t="str">
        <x:v>SRC_0101</x:v>
      </x:c>
      <x:c r="C680" s="8" t="str">
        <x:v>colombo_eng.pdf</x:v>
      </x:c>
      <x:c r="D680" s="18" t="n">
        <x:v>337</x:v>
      </x:c>
      <x:c r="E680" s="8" t="str">
        <x:v>setbacks</x:v>
      </x:c>
      <x:c r="F680" s="8" t="str">
        <x:v>e As per the form “B” in schedule II and form “E” in Schedule III (Subject to Maximum of 65%) 8. Setbacks &amp; Maximum Height As per the form “B” in Schedule II and form “E” in Schedule III 9. Minimum land extent for sub division 150Sq.m 10. Permissible uses Principal use Permissible uses – (As per the form “H” in Schedule VI) Residential 1,2,3,4,5,6,7,8,9,10,11,12,13,14,15,1 6,17 Health 1,2,3,4,5,6,7,8,9,10,11 Office &amp; Institution 1,2,3,4,5,6,7,8 Commercial 1,2,3,4,5,6,7,8,9,10, 11,12,13,14,15,16,17,18,19 Education 1,2*,3*,4*,5*,6,8,9,10,11,12 Customer Care Services 1,2,3,4,5 Tourism 1,2,3,4,5,6,7,8 Chapter 08 Zoning Guidelines ⸺ Zoning Regulations Mixed Development Zone II</x:v>
      </x:c>
      <x:c r="G680" s="8" t="str">
        <x:v>candidate_unreviewed</x:v>
      </x:c>
      <x:c r="H680" s="21" t="b">
        <x:v>0</x:v>
      </x:c>
      <x:c r="I680" s="8" t="str">
        <x:v>Keyword extraction only. Read page image and full context before promoting. English search cannot exclude Sinhala/Tamil or image-only content.</x:v>
      </x:c>
    </x:row>
    <x:row r="681" ht="98" customHeight="1">
      <x:c r="A681" s="11" t="str">
        <x:v>C00680</x:v>
      </x:c>
      <x:c r="B681" s="11" t="str">
        <x:v>SRC_0101</x:v>
      </x:c>
      <x:c r="C681" s="11" t="str">
        <x:v>colombo_eng.pdf</x:v>
      </x:c>
      <x:c r="D681" s="22" t="n">
        <x:v>340</x:v>
      </x:c>
      <x:c r="E681" s="11" t="str">
        <x:v>setbacks</x:v>
      </x:c>
      <x:c r="F681" s="11" t="str">
        <x:v>e As per the form “B” in schedule II and form “E” in Schedule III (Subject to Maximum of 65%) 8. Setbacks &amp; Maximum Height As per the form “B” in Schedule II and form “E” in Schedule III Chapter 08 Zoning Guidelines ⸺ Zoning Regulations Residentail Prominent Mixed Development Zone</x:v>
      </x:c>
      <x:c r="G681" s="11" t="str">
        <x:v>candidate_unreviewed</x:v>
      </x:c>
      <x:c r="H681" s="24" t="b">
        <x:v>0</x:v>
      </x:c>
      <x:c r="I681" s="11" t="str">
        <x:v>Keyword extraction only. Read page image and full context before promoting. English search cannot exclude Sinhala/Tamil or image-only content.</x:v>
      </x:c>
    </x:row>
    <x:row r="682" ht="112" customHeight="1">
      <x:c r="A682" s="8" t="str">
        <x:v>C00681</x:v>
      </x:c>
      <x:c r="B682" s="8" t="str">
        <x:v>SRC_0101</x:v>
      </x:c>
      <x:c r="C682" s="8" t="str">
        <x:v>colombo_eng.pdf</x:v>
      </x:c>
      <x:c r="D682" s="18" t="n">
        <x:v>345</x:v>
      </x:c>
      <x:c r="E682" s="8" t="str">
        <x:v>setbacks</x:v>
      </x:c>
      <x:c r="F682" s="8" t="str">
        <x:v>e As per the form “B” in schedule II and form “E” in Schedule III (Subject to Maximum of 65%) 8. Setbacks &amp; Maximum Height As per the form “B” in Schedule II and form “E” in Schedule III 9. Minimum land extent for sub division 150Sq.m Chapter 08 Zoning Guidelines ⸺ Zoning Regulations Residentail Development Zone</x:v>
      </x:c>
      <x:c r="G682" s="8" t="str">
        <x:v>candidate_unreviewed</x:v>
      </x:c>
      <x:c r="H682" s="21" t="b">
        <x:v>0</x:v>
      </x:c>
      <x:c r="I682" s="8" t="str">
        <x:v>Keyword extraction only. Read page image and full context before promoting. English search cannot exclude Sinhala/Tamil or image-only content.</x:v>
      </x:c>
    </x:row>
    <x:row r="683" ht="196" customHeight="1">
      <x:c r="A683" s="11" t="str">
        <x:v>C00682</x:v>
      </x:c>
      <x:c r="B683" s="11" t="str">
        <x:v>SRC_0101</x:v>
      </x:c>
      <x:c r="C683" s="11" t="str">
        <x:v>colombo_eng.pdf</x:v>
      </x:c>
      <x:c r="D683" s="22" t="n">
        <x:v>348</x:v>
      </x:c>
      <x:c r="E683" s="11" t="str">
        <x:v>setbacks</x:v>
      </x:c>
      <x:c r="F683" s="11" t="str">
        <x:v>er the form “G” in Schedule V 7. Permissible Plot Coverage As per the form “G” in Schedule V 8. Setbacks &amp; Maximum Height As per the form “B” in Schedule II, form “G” in Schedule V and form “E” in Schedule III 9. Minimum land extent for sub division 500Sq.m 10. Permissible uses Principal Use Permissible uses – (As per the form “H” in Schedule VI) Residential 1,2,3,4,5,6,7,10,11,12,13,14,15,16,17 Health 2,4,6,7,10,11 Office &amp; Institution 2**,4,7,8 Commercial 2**,10,13,14**,17 Education 1,2*,3*,4*,5* Customer Care Services 1,2,3,4,5 Chapter 08 Zoning Guidelines ⸺ Zoning Regulations Special Primary Residentail Development Zone</x:v>
      </x:c>
      <x:c r="G683" s="11" t="str">
        <x:v>candidate_unreviewed</x:v>
      </x:c>
      <x:c r="H683" s="24" t="b">
        <x:v>0</x:v>
      </x:c>
      <x:c r="I683" s="11" t="str">
        <x:v>Keyword extraction only. Read page image and full context before promoting. English search cannot exclude Sinhala/Tamil or image-only content.</x:v>
      </x:c>
    </x:row>
    <x:row r="684" ht="364" customHeight="1">
      <x:c r="A684" s="8" t="str">
        <x:v>C00683</x:v>
      </x:c>
      <x:c r="B684" s="8" t="str">
        <x:v>SRC_0101</x:v>
      </x:c>
      <x:c r="C684" s="8" t="str">
        <x:v>colombo_eng.pdf</x:v>
      </x:c>
      <x:c r="D684" s="18" t="n">
        <x:v>350</x:v>
      </x:c>
      <x:c r="E684" s="8" t="str">
        <x:v>plot coverage, setbacks</x:v>
      </x:c>
      <x:c r="F684" s="8" t="str">
        <x:v>12m in heigjht 3. Permissible Plot Coverage 10% (Except pavilions/stadiums/ swimming pool) 4. Setbacks &amp; Maximum Height As per the form “E” in Schedule III 5. Minimum land extent for sub division Subdiviosns are not allowed 6. Permissible uses • Pavilion / stadium • Swimming pool • Sports related commercial activity (Maximum of 10% floor area of the building) • Fair &amp; exibition grounds • Recreational clubs • Gymnasiums 7. Common zoning regulations • Penalties cannot be considered for the parking slots that cannot be provided practically • Pavilions, Satadiums and swimming pools shall not be counted for the permissible maximum plot coverage • Maximumpermissible height of the boundary wall (except Gate) facing to the || ally • Pavilions, Satadiums and swimming pools shall not be counted for the permissible maximum plot coverage • Maximumpermissible height of the boundary wall (except Gate) facing to the access road is 1m • Preliminary Planning Clerance shall be obtained from urban Devellopment Authority 8.1.10. Common / Public Open Space Zone Table No. 8.10 : Public Open Space Zone Source : Uban Development Authority, 2021 Chapter 08 Zoning Guidelines ⸺ Zoning Regulations Common / Public Open Space Zone</x:v>
      </x:c>
      <x:c r="G684" s="8" t="str">
        <x:v>candidate_unreviewed</x:v>
      </x:c>
      <x:c r="H684" s="21" t="b">
        <x:v>0</x:v>
      </x:c>
      <x:c r="I684" s="8" t="str">
        <x:v>Keyword extraction only. Read page image and full context before promoting. English search cannot exclude Sinhala/Tamil or image-only content.</x:v>
      </x:c>
    </x:row>
    <x:row r="685" ht="168" customHeight="1">
      <x:c r="A685" s="11" t="str">
        <x:v>C00684</x:v>
      </x:c>
      <x:c r="B685" s="11" t="str">
        <x:v>SRC_0101</x:v>
      </x:c>
      <x:c r="C685" s="11" t="str">
        <x:v>colombo_eng.pdf</x:v>
      </x:c>
      <x:c r="D685" s="22" t="n">
        <x:v>357</x:v>
      </x:c>
      <x:c r="E685" s="11" t="str">
        <x:v>plot coverage</x:v>
      </x:c>
      <x:c r="F685" s="11" t="str">
        <x:v>ity Form B - Number of Floors for 3.0m &amp; 4.5m wide Roads Minimum Road Width Minimum Site Frontage Plot Coverage* Maximum Number of Floors Zone Factor 1.50 - 3.49 Zone Factor 3.50 - 4.00 3.0m 6m 65% 3 (G+2) 3 (G+2) 4.5m 6m 65% 3 (G+2) 4 (G+3) Number of floors are indicated including parking areas * Where no plot coverage specified under the zoning regulations || ) 4.5m 6m 65% 3 (G+2) 4 (G+3) Number of floors are indicated including parking areas * Where no plot coverage specified under the zoning regulations</x:v>
      </x:c>
      <x:c r="G685" s="11" t="str">
        <x:v>candidate_unreviewed</x:v>
      </x:c>
      <x:c r="H685" s="24" t="b">
        <x:v>0</x:v>
      </x:c>
      <x:c r="I685" s="11" t="str">
        <x:v>Keyword extraction only. Read page image and full context before promoting. English search cannot exclude Sinhala/Tamil or image-only content.</x:v>
      </x:c>
    </x:row>
    <x:row r="686" ht="644" customHeight="1">
      <x:c r="A686" s="8" t="str">
        <x:v>C00685</x:v>
      </x:c>
      <x:c r="B686" s="8" t="str">
        <x:v>SRC_0101</x:v>
      </x:c>
      <x:c r="C686" s="8" t="str">
        <x:v>colombo_eng.pdf</x:v>
      </x:c>
      <x:c r="D686" s="18" t="n">
        <x:v>358</x:v>
      </x:c>
      <x:c r="E686" s="8" t="str">
        <x:v>minimum width, plot coverage, setbacks</x:v>
      </x:c>
      <x:c r="F686" s="8" t="str">
        <x:v>n the gazette notification No. 54/2235 dated 08.07.2021by the Urban Development Authority Form E - Setbacks &amp; Open Spaces Building Height (m) Minimum Site Frontage (m) Plot Coverage * Rear Space (m) Side Space (m) Light Well for NLV Non Residential Residential When no NLV is taking this end When NLV is taking this end When no NLV is taking this end When NLV is taking this end Minimum width Minimum Area less than 7 6 80%** 65% 2.3m 2.3m - 2.3m 2.3m 5Sq.m 7 less than 15 6 65% 65% 3.0m 3.0m - 3.0m 3.0m 9 Sq.m 15 less than 30 12 65% 65% 4.0m 4.0m 1.0m and 3.0m 4.0m 4.0m 16 Sq.m 30 less than 50 20 65% 65% 4.0m 5.0m 3.0m both side 5.0m 5.0m 25 Sq.m 50 less than 75 30 50%*** 50%*** 5.0m 6.0m 4.0m both side 6.0m 6.0m 36 Sq.m 75 and above Above || velopment Authority Form E - Setbacks &amp; Open Spaces Building Height (m) Minimum Site Frontage (m) Plot Coverage * Rear Space (m) Side Space (m) Light Well for NLV Non Residential Residential When no NLV is taking this end When NLV is taking this end When no NLV is taking this end When NLV is taking this end Minimum width Minimum Area less than 7 6 80%** 65% 2.3m 2.3m - 2.3m 2.3m 5Sq.m 7 less than 15 6 65% 65% 3.0m 3.0m - 3.0m 3.0m 9 Sq.m 15 less than 30 12 65% 65% 4.0m 4.0m 1.0m and 3.0m 4.0m 4.0m 16 Sq.m 30 less than 50 20 65% 65% 4.0m 5.0m 3.0m both side 5.0m 5.0m 25 Sq.m 50 less than 75 30 50%*** 50%*** 5.0m 6.0m 4.0m both side 6.0m 6.0m 36 Sq.m 75 and above Above 40 50%*** 50%*** 5.0m 6.0m 5.0m both side 6.0m 6.0m **** NLV - Natural Light || this end When NLV is taking this end When no NLV is taking this end When NLV is taking this end Minimum width Minimum Area less than 7 6 80%** 65% 2.3m 2.3m - 2.3m 2.3m 5Sq.m 7 less than 15 6 65% 65% 3.0m 3.0m - 3.0m 3.0m 9 Sq.m 15 less than 30 12 65% 65% 4.0m 4.0m 1.0m and 3.0m 4.0m 4.0m 16 Sq.m 30 less than 50 20 65% 65% 4.0m 5.0m 3.0m both side 5.0m 5.0m 25 Sq.m 50 less than 75 30 50%*** 50%*** 5.0m 6.0m 4.0m both side 6.0m 6.0m 36 Sq.m 75 and above Above 40 50%*** 50%*** 5.0m 6.0m 5.0m both side 6.0m 6.0m **** NLV - Natural Light &amp; Ventilation Building Height - Height between access road level to roof top or roof level (Including parking floors) *Where no Plot Coverage specified und</x:v>
      </x:c>
      <x:c r="G686" s="8" t="str">
        <x:v>candidate_unreviewed</x:v>
      </x:c>
      <x:c r="H686" s="21" t="b">
        <x:v>0</x:v>
      </x:c>
      <x:c r="I686" s="8" t="str">
        <x:v>Keyword extraction only. Read page image and full context before promoting. English search cannot exclude Sinhala/Tamil or image-only content.</x:v>
      </x:c>
    </x:row>
    <x:row r="687" ht="70" customHeight="1">
      <x:c r="A687" s="11" t="str">
        <x:v>C00686</x:v>
      </x:c>
      <x:c r="B687" s="11" t="str">
        <x:v>SRC_0101</x:v>
      </x:c>
      <x:c r="C687" s="11" t="str">
        <x:v>colombo_eng.pdf</x:v>
      </x:c>
      <x:c r="D687" s="22" t="n">
        <x:v>359</x:v>
      </x:c>
      <x:c r="E687" s="11" t="str">
        <x:v>plot coverage</x:v>
      </x:c>
      <x:c r="F687" s="11" t="str">
        <x:v>5m access road shall be in accordance with Form “B” in schedule II ( Zone factor as 1.75) **Maximum plot coverage for podium floors shall not be exceeded 50%</x:v>
      </x:c>
      <x:c r="G687" s="11" t="str">
        <x:v>candidate_unreviewed</x:v>
      </x:c>
      <x:c r="H687" s="24" t="b">
        <x:v>0</x:v>
      </x:c>
      <x:c r="I687" s="11" t="str">
        <x:v>Keyword extraction only. Read page image and full context before promoting. English search cannot exclude Sinhala/Tamil or image-only content.</x:v>
      </x:c>
    </x:row>
    <x:row r="688" ht="168" customHeight="1">
      <x:c r="A688" s="8" t="str">
        <x:v>C00687</x:v>
      </x:c>
      <x:c r="B688" s="8" t="str">
        <x:v>SRC_0101</x:v>
      </x:c>
      <x:c r="C688" s="8" t="str">
        <x:v>colombo_eng.pdf</x:v>
      </x:c>
      <x:c r="D688" s="18" t="n">
        <x:v>371</x:v>
      </x:c>
      <x:c r="E688" s="8" t="str">
        <x:v>minimum width</x:v>
      </x:c>
      <x:c r="F688" s="8" t="str">
        <x:v>atly as per the specified parking requiremnt of such invidiual use. Schedule IX – Land Subdivision Minimum width of access road (m) Maximum road length (m) Maximum Number of Lots Served (Excluding the once those are facing the main road) 3.0 up to 50m 4 At a distance of 100m or less, but both ends connected to public roads where width is 6 m or more 8 4.5 up to 100m 8 At a distance of 200m or less, but both ends connected to public roads where width is 6 m or more 16 6.0 and above No limit No limit Chapter 08 Zoning Guidelines ⸺ Schedule</x:v>
      </x:c>
      <x:c r="G688" s="8" t="str">
        <x:v>candidate_unreviewed</x:v>
      </x:c>
      <x:c r="H688" s="21" t="b">
        <x:v>0</x:v>
      </x:c>
      <x:c r="I688" s="8" t="str">
        <x:v>Keyword extraction only. Read page image and full context before promoting. English search cannot exclude Sinhala/Tamil or image-only content.</x:v>
      </x:c>
    </x:row>
    <x:row r="689" ht="210" customHeight="1">
      <x:c r="A689" s="11" t="str">
        <x:v>C00688</x:v>
      </x:c>
      <x:c r="B689" s="11" t="str">
        <x:v>SRC_0106</x:v>
      </x:c>
      <x:c r="C689" s="11" t="str">
        <x:v>hikka_2025_E.pdf</x:v>
      </x:c>
      <x:c r="D689" s="22" t="n">
        <x:v>93</x:v>
      </x:c>
      <x:c r="E689" s="11" t="str">
        <x:v>staircase</x:v>
      </x:c>
      <x:c r="F689" s="11" t="str">
        <x:v>y old. These buildings have been renovated. Some of the idols are being renovated. There is only a staircase to access the idol. The stupa is of recent times. Currently, a pirivena is maintained here.  Scenic spots The Hikkaduwa River, the main water source that feeds the Hikkaduwa Municipal Council area, Rajgama Lake, Thuduwegoda Stream and Mawakada Stream give high value to the scenic beauty of the area. However, due to the increase in building density, blocking of access roads, unauthorized construction in protected areas and dumping of waste in the water, it can be seen that it has lost its appeal to the community. Figure 2.41: Jannandarama Viharaya</x:v>
      </x:c>
      <x:c r="G689" s="11" t="str">
        <x:v>candidate_unreviewed</x:v>
      </x:c>
      <x:c r="H689" s="24" t="b">
        <x:v>0</x:v>
      </x:c>
      <x:c r="I689" s="11" t="str">
        <x:v>Keyword extraction only. Read page image and full context before promoting. English search cannot exclude Sinhala/Tamil or image-only content.</x:v>
      </x:c>
    </x:row>
    <x:row r="690" ht="224" customHeight="1">
      <x:c r="A690" s="8" t="str">
        <x:v>C00689</x:v>
      </x:c>
      <x:c r="B690" s="8" t="str">
        <x:v>SRC_0106</x:v>
      </x:c>
      <x:c r="C690" s="8" t="str">
        <x:v>hikka_2025_E.pdf</x:v>
      </x:c>
      <x:c r="D690" s="18" t="n">
        <x:v>213</x:v>
      </x:c>
      <x:c r="E690" s="8" t="str">
        <x:v>bathroom</x:v>
      </x:c>
      <x:c r="F690" s="8" t="str">
        <x:v>itors. It is possible to determine whether facilities for bathing, storing personal equipment, and bathrooms of suitable sizes are included when authorizing buildings associated with such places, particularly for visitors who participate in sea sports. c) Implementing strategies to improve surfing and diving activities The aim is to increase tourism attraction and enhance community recreation through the implementation of strategic approaches to enhance surfing and diving activities. For that, following proposals were made • Beautifying coastal areas: Keeping beaches and coastal areas clean and improving them as safe areas for everyone to enjoy. Source: Galle District Office, Urban Development Authority Figure 6.47: Area identif</x:v>
      </x:c>
      <x:c r="G690" s="8" t="str">
        <x:v>candidate_unreviewed</x:v>
      </x:c>
      <x:c r="H690" s="21" t="b">
        <x:v>0</x:v>
      </x:c>
      <x:c r="I690" s="8" t="str">
        <x:v>Keyword extraction only. Read page image and full context before promoting. English search cannot exclude Sinhala/Tamil or image-only content.</x:v>
      </x:c>
    </x:row>
    <x:row r="691" ht="126" customHeight="1">
      <x:c r="A691" s="11" t="str">
        <x:v>C00690</x:v>
      </x:c>
      <x:c r="B691" s="11" t="str">
        <x:v>SRC_0106</x:v>
      </x:c>
      <x:c r="C691" s="11" t="str">
        <x:v>hikka_2025_E.pdf</x:v>
      </x:c>
      <x:c r="D691" s="22" t="n">
        <x:v>298</x:v>
      </x:c>
      <x:c r="E691" s="11" t="str">
        <x:v>plot coverage</x:v>
      </x:c>
      <x:c r="F691" s="11" t="str">
        <x:v>culating the permitted FAR for the proposed development. However, in calculating the percentage of plot coverage, the remaining area of the land excluding the portion falling within the street line/proposed road width shall be considered. 7.4.7. No construction (e.g. walls, nets, bio-fences, etc.) will be permitted within the portion of land allocated for road widening as per 7.4.6 above.</x:v>
      </x:c>
      <x:c r="G691" s="11" t="str">
        <x:v>candidate_unreviewed</x:v>
      </x:c>
      <x:c r="H691" s="24" t="b">
        <x:v>0</x:v>
      </x:c>
      <x:c r="I691" s="11" t="str">
        <x:v>Keyword extraction only. Read page image and full context before promoting. English search cannot exclude Sinhala/Tamil or image-only content.</x:v>
      </x:c>
    </x:row>
    <x:row r="692" ht="294" customHeight="1">
      <x:c r="A692" s="8" t="str">
        <x:v>C00691</x:v>
      </x:c>
      <x:c r="B692" s="8" t="str">
        <x:v>SRC_0106</x:v>
      </x:c>
      <x:c r="C692" s="8" t="str">
        <x:v>hikka_2025_E.pdf</x:v>
      </x:c>
      <x:c r="D692" s="18" t="n">
        <x:v>300</x:v>
      </x:c>
      <x:c r="E692" s="8" t="str">
        <x:v>minimum width, plot coverage</x:v>
      </x:c>
      <x:c r="F692" s="8" t="str">
        <x:v>has been corrected here.) Slop of the land Minimum allowable land area (m2) (subdivision) Minimum width and depth of permissible land 00 to 100 150 The plan must comply with development regulations. . 1170 &lt; to 200 250 210 &lt; to 300 500 310 &lt; to 450 750 Over 450 Permission will be granted for development works in accordance with the recommendations of the National Building Research Organization. Source: Urban Development Authority 7.4.20. In cases where the slope of the land exceeds 11 degrees, details regarding the slope of that land should be indicated in the survey plan by the surveyor. The slope of the land (degrees) Maximum allowable plot coverage Percentage of maximum permissible floor area ra || the recommendations of the National Building Research Organization. Table 7.2: Maximum permitted plot coverage percentage and percentage of house support according to the land area Table 7.3: Minimum permitted land area and minimum land width and depth according to land slope</x:v>
      </x:c>
      <x:c r="G692" s="8" t="str">
        <x:v>candidate_unreviewed</x:v>
      </x:c>
      <x:c r="H692" s="21" t="b">
        <x:v>0</x:v>
      </x:c>
      <x:c r="I692" s="8" t="str">
        <x:v>Keyword extraction only. Read page image and full context before promoting. English search cannot exclude Sinhala/Tamil or image-only content.</x:v>
      </x:c>
    </x:row>
    <x:row r="693" ht="238" customHeight="1">
      <x:c r="A693" s="11" t="str">
        <x:v>C00692</x:v>
      </x:c>
      <x:c r="B693" s="11" t="str">
        <x:v>SRC_0106</x:v>
      </x:c>
      <x:c r="C693" s="11" t="str">
        <x:v>hikka_2025_E.pdf</x:v>
      </x:c>
      <x:c r="D693" s="22" t="n">
        <x:v>301</x:v>
      </x:c>
      <x:c r="E693" s="11" t="str">
        <x:v>plot coverage</x:v>
      </x:c>
      <x:c r="F693" s="11" t="str">
        <x:v>elated uses and the frontage width of the land should be at least 30 meters. 7.4.23. The maximum plot coverage for schools, educational institutions, hospitals, children's homes, elderly homes and rehabilitation homes should not exceed 50%. 7.4.24. All low-lying and paddy lands, water retention and water control areas within the Medium Sensitive Conservation Zone of the Hikkaduwa Development Plan (excluding lands identified for projects by the UDA.) must be in accordance with that zoning plan. 7.4.25. During the construction of the building in water-facing development activities, at least 1/4th of the width of the land face parallel to the water source should be designed in such a way that the water source is visible from the relevant acc</x:v>
      </x:c>
      <x:c r="G693" s="11" t="str">
        <x:v>candidate_unreviewed</x:v>
      </x:c>
      <x:c r="H693" s="24" t="b">
        <x:v>0</x:v>
      </x:c>
      <x:c r="I693" s="11" t="str">
        <x:v>Keyword extraction only. Read page image and full context before promoting. English search cannot exclude Sinhala/Tamil or image-only content.</x:v>
      </x:c>
    </x:row>
    <x:row r="694" ht="238" customHeight="1">
      <x:c r="A694" s="8" t="str">
        <x:v>C00693</x:v>
      </x:c>
      <x:c r="B694" s="8" t="str">
        <x:v>SRC_0106</x:v>
      </x:c>
      <x:c r="C694" s="8" t="str">
        <x:v>hikka_2025_E.pdf</x:v>
      </x:c>
      <x:c r="D694" s="18" t="n">
        <x:v>315</x:v>
      </x:c>
      <x:c r="E694" s="8" t="str">
        <x:v>plot coverage</x:v>
      </x:c>
      <x:c r="F694" s="8" t="str">
        <x:v>en area should be landscaped and maintained without any construction, as per the maximum permitted plot coverage. 2. As this is an environmentally sensitive zone, all buildings shall be designed and constructed in harmony with the surrounding environment, including considerations relating to building typology, green coverage, the use of alternative energy sources, and environmentally sustainable building materials. The Urban Development Authority Planning Committee shall have the authority to impose recommendations and conditions necessary to ensure compliance with these requirements. 3.Where environmentally friendly building materials and alternative energy sources are incorporated into a development, permission may be granted for an ad</x:v>
      </x:c>
      <x:c r="G694" s="8" t="str">
        <x:v>candidate_unreviewed</x:v>
      </x:c>
      <x:c r="H694" s="21" t="b">
        <x:v>0</x:v>
      </x:c>
      <x:c r="I694" s="8" t="str">
        <x:v>Keyword extraction only. Read page image and full context before promoting. English search cannot exclude Sinhala/Tamil or image-only content.</x:v>
      </x:c>
    </x:row>
    <x:row r="695" ht="224" customHeight="1">
      <x:c r="A695" s="11" t="str">
        <x:v>C00694</x:v>
      </x:c>
      <x:c r="B695" s="11" t="str">
        <x:v>SRC_0106</x:v>
      </x:c>
      <x:c r="C695" s="11" t="str">
        <x:v>hikka_2025_E.pdf</x:v>
      </x:c>
      <x:c r="D695" s="22" t="n">
        <x:v>317</x:v>
      </x:c>
      <x:c r="E695" s="11" t="str">
        <x:v>plot coverage</x:v>
      </x:c>
      <x:c r="F695" s="11" t="str">
        <x:v>n area should be landscaped and maintained without any construction, as per the maximum permitted plot coverage. 2. Permission should be obtained from the Department of Wildlife Conservation for all development activities in the wildlife reserve areas around the Rajgama Lagoon. 3. As this is an environmentally sensitive zone, all buildings shall be designed and constructed in harmony with the surrounding environment, including considerations relating to building typology, green coverage, the use of alternative energy sources, and environmentally sustainable building materials. The Urban Development Authority Planning Committee shall have the authority to impose recommendations and conditions necessary to ensure compliance with thes</x:v>
      </x:c>
      <x:c r="G695" s="11" t="str">
        <x:v>candidate_unreviewed</x:v>
      </x:c>
      <x:c r="H695" s="24" t="b">
        <x:v>0</x:v>
      </x:c>
      <x:c r="I695" s="11" t="str">
        <x:v>Keyword extraction only. Read page image and full context before promoting. English search cannot exclude Sinhala/Tamil or image-only content.</x:v>
      </x:c>
    </x:row>
    <x:row r="696" ht="224" customHeight="1">
      <x:c r="A696" s="8" t="str">
        <x:v>C00695</x:v>
      </x:c>
      <x:c r="B696" s="8" t="str">
        <x:v>SRC_0106</x:v>
      </x:c>
      <x:c r="C696" s="8" t="str">
        <x:v>hikka_2025_E.pdf</x:v>
      </x:c>
      <x:c r="D696" s="18" t="n">
        <x:v>321</x:v>
      </x:c>
      <x:c r="E696" s="8" t="str">
        <x:v>plot coverage</x:v>
      </x:c>
      <x:c r="F696" s="8" t="str">
        <x:v>and waste disposal/treatment facilities can be used for site managment if necessary. VI. Maximum Plot Coverage 10% of the total project area. All buildings (non-permanent) on towers/pillars are permitted. VII. Permissible Infrastructure Projects (Electricity, Water Supply,Telecommunication,Road Etc.) 7% from total project land area VIII. Maximum Ground Floor Extent For Separate Buildings 300 Sq.m. IX. Maximum Building Height 7 meters above ground level. (not applicable to Towers / observation posts, stations where animals can be observed from a hidden location, in line with the main concept) X. Building Type The buildings may be placed individually or in groups. The construction of the buildings sho</x:v>
      </x:c>
      <x:c r="G696" s="8" t="str">
        <x:v>candidate_unreviewed</x:v>
      </x:c>
      <x:c r="H696" s="21" t="b">
        <x:v>0</x:v>
      </x:c>
      <x:c r="I696" s="8" t="str">
        <x:v>Keyword extraction only. Read page image and full context before promoting. English search cannot exclude Sinhala/Tamil or image-only content.</x:v>
      </x:c>
    </x:row>
    <x:row r="697" ht="490" customHeight="1">
      <x:c r="A697" s="11" t="str">
        <x:v>C00696</x:v>
      </x:c>
      <x:c r="B697" s="11" t="str">
        <x:v>SRC_0106</x:v>
      </x:c>
      <x:c r="C697" s="11" t="str">
        <x:v>hikka_2025_E.pdf</x:v>
      </x:c>
      <x:c r="D697" s="22" t="n">
        <x:v>337</x:v>
      </x:c>
      <x:c r="E697" s="11" t="str">
        <x:v>plot coverage</x:v>
      </x:c>
      <x:c r="F697" s="11" t="str">
        <x:v>ssible number of floors for the road width as 3m and 4.5m Minimum Road Width Road Frontage Plot Coverage* Maximum Numbers of Floors Zone Factor 0.5 - 0.74 Zone Factor 0.75 - 1.24 Zone Factor 1.25 - 3.49 Zone Factor 3.50 - 4.00 3.0 m 6 m 65% 1 (G) 2 (G+1) 3 (G+2) 3 (G+2) 4.5 m 6 m 65% 1 (G) 2 (G+1) 3 (G+2) 4 (G+3) The above floor sizes are inclusive of parking spaces. The number of housing units specified for each road does not change. * In cases where the percentage of building coverage is not specified under the zoning regulations “E” Form – Set Backs &amp; Open Spaces Buiding Height Minimum Frontage Plot coverage * Rear space (m) Side Space (m) Natural light-ventilation wells Non Residential Residenti || r the zoning regulations “E” Form – Set Backs &amp; Open Spaces Buiding Height Minimum Frontage Plot coverage * Rear space (m) Side Space (m) Natural light-ventilation wells Non Residential Residential When not Obtaining Natural light- ventilation from rear side Obtaining Natural light- ventilation from rear side When not Obtaining Natural light-ventilation from side Obtaining Natural light- ventilation from side Minimum width Minimum floor Area 7 less 6 80%** 65% 2.3 m 2.3 m - 2.3 m 2.3 m 5 sqm 7 - 15 less 6 65% 65% 3.0 m 3.0 m - 3.0 m 3.0 m 9 sqm 15 - 30less 12 65% 65% 4.0 m 4.0 m 1.0 m සහ 3.0 m 4.0 m 4.0 m 16 sqm 30 - 50less 20 65% 65% 4.0 m 5.0 m 3.0 m both sides || d under the zonnig regulations **The entire development is for non-residential activities ***65% plot coverage can be allowed only for the podium level not exceeding 20% of the tower height or 12 floors whichever is less ****Minimum area shall be incresed by 1 sq.m. for every additional 3m height</x:v>
      </x:c>
      <x:c r="G697" s="11" t="str">
        <x:v>candidate_unreviewed</x:v>
      </x:c>
      <x:c r="H697" s="24" t="b">
        <x:v>0</x:v>
      </x:c>
      <x:c r="I697" s="11" t="str">
        <x:v>Keyword extraction only. Read page image and full context before promoting. English search cannot exclude Sinhala/Tamil or image-only content.</x:v>
      </x:c>
    </x:row>
    <x:row r="698" ht="420" customHeight="1">
      <x:c r="A698" s="8" t="str">
        <x:v>C00697</x:v>
      </x:c>
      <x:c r="B698" s="8" t="str">
        <x:v>SRC_0106</x:v>
      </x:c>
      <x:c r="C698" s="8" t="str">
        <x:v>hikka_2025_E.pdf</x:v>
      </x:c>
      <x:c r="D698" s="18" t="n">
        <x:v>346</x:v>
      </x:c>
      <x:c r="E698" s="8" t="str">
        <x:v>bedroom</x:v>
      </x:c>
      <x:c r="F698" s="8" t="str">
        <x:v>luxurious, private and intimate setting A tourist accommodation, usually with at least two bedrooms, a swimming pool, outdoor living space, and high- end amenities. A place with at least five bedrooms that offers accommodation for tourists, with or without catering facilities. This refers to shared rooms or dormitory accommodations that provide short- term lodging with shared facilities for individual travelers (usually backpackers) or groups. The term "dormitory" refers to rooms where travelers share single beds in shared rooms, rather than booking entire rooms, such as in hotels or guesthouses. A cabana hotel is a type of accommodation that typically features private, independent cabins || , a swimming pool, outdoor living space, and high- end amenities. A place with at least five bedrooms that offers accommodation for tourists, with or without catering facilities. This refers to shared rooms or dormitory accommodations that provide short- term lodging with shared facilities for individual travelers (usually backpackers) or groups. The term "dormitory" refers to rooms where travelers share single beds in shared rooms, rather than booking entire rooms, such as in hotels or guesthouses. A cabana hotel is a type of accommodation that typically features private, independent cabins or bungalows. These hotels often offer a more intimate and relaxed atmosphere, with amenities</x:v>
      </x:c>
      <x:c r="G698" s="8" t="str">
        <x:v>candidate_unreviewed</x:v>
      </x:c>
      <x:c r="H698" s="21" t="b">
        <x:v>0</x:v>
      </x:c>
      <x:c r="I698" s="8" t="str">
        <x:v>Keyword extraction only. Read page image and full context before promoting. English search cannot exclude Sinhala/Tamil or image-only content.</x:v>
      </x:c>
    </x:row>
    <x:row r="699" ht="476" customHeight="1">
      <x:c r="A699" s="11" t="str">
        <x:v>C00698</x:v>
      </x:c>
      <x:c r="B699" s="11" t="str">
        <x:v>SRC_0106</x:v>
      </x:c>
      <x:c r="C699" s="11" t="str">
        <x:v>hikka_2025_E.pdf</x:v>
      </x:c>
      <x:c r="D699" s="22" t="n">
        <x:v>347</x:v>
      </x:c>
      <x:c r="E699" s="11" t="str">
        <x:v>bathroom, bedroom</x:v>
      </x:c>
      <x:c r="F699" s="11" t="str">
        <x:v>n 5 Visitors room minimum size 30 30 Single 11.5 Double 13  Each person in a bedroom or dormitory must have at least 5 square meters of floor space.  One bathroom for every six people  To be considered a dormitory, the premises must be able to accommod ate at least 20 guests. Single 9.29 Double 11.14 17 (1-2 star) 22 (3-5 star) Single 9.29 Double 11.14 Size of a guest room - minimum width (meters). 3 3 3 3 Minimum size of a bathroom (square meters) 4.5 4.5 3.2 2.78 3.7 2.78 Suite (A room that is usually large and has superior amenities. Such a room contains more than one room (e.g., a bedroom, a living room, and someti || rson in a bedroom or dormitory must have at least 5 square meters of floor space.  One bathroom for every six people  To be considered a dormitory, the premises must be able to accommod ate at least 20 guests. Single 9.29 Double 11.14 17 (1-2 star) 22 (3-5 star) Single 9.29 Double 11.14 Size of a guest room - minimum width (meters). 3 3 3 3 Minimum size of a bathroom (square meters) 4.5 4.5 3.2 2.78 3.7 2.78 Suite (A room that is usually large and has superior amenities. Such a room contains more than one room (e.g., a bedroom, a living room, and sometimes a kitchen) and special amenities. 1 (3 star) 2 (4 star) 3 ( || ize of a guest room - minimum width (meters). 3 3 3 3 Minimum size of a bathroom (square meters) 4.5 4.5 3.2 2.78 3.7 2.78 Suite (A room that is usually large and has superior amenities. Such a room contains more than one room (e.g., a bedroom, a living room, and sometimes a kitchen) and special amenities. 1 (3 star) 2 (4 star) 3 (5 star) Less than 5</x:v>
      </x:c>
      <x:c r="G699" s="11" t="str">
        <x:v>candidate_unreviewed</x:v>
      </x:c>
      <x:c r="H699" s="24" t="b">
        <x:v>0</x:v>
      </x:c>
      <x:c r="I699" s="11" t="str">
        <x:v>Keyword extraction only. Read page image and full context before promoting. English search cannot exclude Sinhala/Tamil or image-only content.</x:v>
      </x:c>
    </x:row>
    <x:row r="700" ht="322" customHeight="1">
      <x:c r="A700" s="8" t="str">
        <x:v>C00699</x:v>
      </x:c>
      <x:c r="B700" s="8" t="str">
        <x:v>SRC_0106</x:v>
      </x:c>
      <x:c r="C700" s="8" t="str">
        <x:v>hikka_2025_E.pdf</x:v>
      </x:c>
      <x:c r="D700" s="18" t="n">
        <x:v>352</x:v>
      </x:c>
      <x:c r="E700" s="8" t="str">
        <x:v>plot coverage</x:v>
      </x:c>
      <x:c r="F700" s="8" t="str">
        <x:v>he land being developed. Permissible Height Considered lot size Maximum plot coverage G+2 Less than 20 50% G+2 20-40 60% G+2 Less than 40 65% Conditions 1 and one of the following conditions 2, 3, 4, 5 must be met for development to be considered. Only permitted for tourism uses relevant to the zones. Applicable to high-density tourism zone, medium-density tourism zone, and low-density tourism zone. 2). If the road is more than 30 meters long or has a dead end and is connected to a road of at least 3 meters or less than 6 meters at a distance of 200 meters or less in any direction from the land being developed. Permissible Height Considered lot size Maximum plot coverage G+1 Le || rection from the land being developed. Permissible Height Considered lot size Maximum plot coverage G+1 Less than20 40% G+1 20-40 50% G+1 Greater than 40 60% Conditions 1 and one of the following conditions 2, 3, 4, 5 must be met in order to be considered for development. Only for permitted tourism uses relevant to the zones. Relevant for high-density tourism zones.</x:v>
      </x:c>
      <x:c r="G700" s="8" t="str">
        <x:v>candidate_unreviewed</x:v>
      </x:c>
      <x:c r="H700" s="21" t="b">
        <x:v>0</x:v>
      </x:c>
      <x:c r="I700" s="8" t="str">
        <x:v>Keyword extraction only. Read page image and full context before promoting. English search cannot exclude Sinhala/Tamil or image-only content.</x:v>
      </x:c>
    </x:row>
    <x:row r="701" ht="196" customHeight="1">
      <x:c r="A701" s="11" t="str">
        <x:v>C00700</x:v>
      </x:c>
      <x:c r="B701" s="11" t="str">
        <x:v>SRC_0106</x:v>
      </x:c>
      <x:c r="C701" s="11" t="str">
        <x:v>hikka_2025_E.pdf</x:v>
      </x:c>
      <x:c r="D701" s="22" t="n">
        <x:v>360</x:v>
      </x:c>
      <x:c r="E701" s="11" t="str">
        <x:v>minimum width</x:v>
      </x:c>
      <x:c r="F701" s="11" t="str">
        <x:v>342 oN E Usage Type Specifications Specifications On the road Minimum Width etxetxEE mqm E t msmEpqNxE m ie EE Standard Vehicles Bus Lorry Multip sopNme E 3 Health eovernment Hospitals ( all ( Facilities ) 9 One space for 10 beds and 30 of the total required space for public parking rne A space rne A space Health hursing Houses and jrivate Hospitals 9 One space for 02 beds or one space for 10 square meters, whichever is greater is considered Health srxnsabsbalsc t external jatient mections and mimilar Uses 3 (should be road maintained by LA) naximum 100 s cso One space for 100 sq.m 6 naximum 200 cso s One space for 100 sq.m</x:v>
      </x:c>
      <x:c r="G701" s="11" t="str">
        <x:v>candidate_unreviewed</x:v>
      </x:c>
      <x:c r="H701" s="24" t="b">
        <x:v>0</x:v>
      </x:c>
      <x:c r="I701" s="11" t="str">
        <x:v>Keyword extraction only. Read page image and full context before promoting. English search cannot exclude Sinhala/Tamil or image-only content.</x:v>
      </x:c>
    </x:row>
    <x:row r="702" ht="140" customHeight="1">
      <x:c r="A702" s="8" t="str">
        <x:v>C00701</x:v>
      </x:c>
      <x:c r="B702" s="8" t="str">
        <x:v>SRC_0106</x:v>
      </x:c>
      <x:c r="C702" s="8" t="str">
        <x:v>hikka_2025_E.pdf</x:v>
      </x:c>
      <x:c r="D702" s="18" t="n">
        <x:v>379</x:v>
      </x:c>
      <x:c r="E702" s="8" t="str">
        <x:v>plot coverage</x:v>
      </x:c>
      <x:c r="F702" s="8" t="str">
        <x:v>ban Council Area 217 7.1 Proposed Development Zones and Zone Factors 279 7.2 Maximum Permitted Plot Coverage and Building Coverage According to Land Area 282 7.3 Maximum Permitted Land Area and Minimum Land Width and Depth According to Land Slope 282 8.1 Zoning Regulations for the High-Density Tourism Zone 293 8.2 Zoning Regulations for the Medium-Density Tourism Zone 294 8.3 Zoning Regulations for the Low-Density Tourism Zone I 297</x:v>
      </x:c>
      <x:c r="G702" s="8" t="str">
        <x:v>candidate_unreviewed</x:v>
      </x:c>
      <x:c r="H702" s="21" t="b">
        <x:v>0</x:v>
      </x:c>
      <x:c r="I702" s="8" t="str">
        <x:v>Keyword extraction only. Read page image and full context before promoting. English search cannot exclude Sinhala/Tamil or image-only content.</x:v>
      </x:c>
    </x:row>
    <x:row r="703" ht="644" customHeight="1">
      <x:c r="A703" s="11" t="str">
        <x:v>C00702</x:v>
      </x:c>
      <x:c r="B703" s="11" t="str">
        <x:v>SRC_0107</x:v>
      </x:c>
      <x:c r="C703" s="11" t="str">
        <x:v>homagama_dev_plan_eng.pdf</x:v>
      </x:c>
      <x:c r="D703" s="22" t="n">
        <x:v>258</x:v>
      </x:c>
      <x:c r="E703" s="11" t="str">
        <x:v>minimum width, plot coverage, setbacks</x:v>
      </x:c>
      <x:c r="F703" s="11" t="str">
        <x:v>cated including parking areas Number of units allowed for each road shall not be changed * Where no plot coverage speciied under the zoning regulations Schedule 02 Schedule 03 Form C - Setbacks &amp; Open Spaces Building Category Building Height (m) Minimum Site Frontage (m) Plot Coverage * Rear Space (m) Side Space (m) Light Well for NLV Non Residential Residential When no NLV is taking this end When NLV is taking this end When no NLV is taking this end When NLV is taking this end Minimum width Minimum Area Low Rise less than 7 6 80%** 65% 2.3m 2.3m - 2.3m 2.3m 5 Sq.m 7 less than 15 6 65% 65% 3.0m 3.0m - 3.0m 3.0m 9 Sq.m Inter Mediate Rise 15 less than 30 12 65% 65% 4.0m 4.0m 1.0m and 3.0m 4.0m 4.0m 16 Sq.m Middle Rise 30 less than 50 20 65% 65% 4 || ged * Where no plot coverage speciied under the zoning regulations Schedule 02 Schedule 03 Form C - Setbacks &amp; Open Spaces Building Category Building Height (m) Minimum Site Frontage (m) Plot Coverage * Rear Space (m) Side Space (m) Light Well for NLV Non Residential Residential When no NLV is taking this end When NLV is taking this end When no NLV is taking this end When NLV is taking this end Minimum width Minimum Area Low Rise less than 7 6 80%** 65% 2.3m 2.3m - 2.3m 2.3m 5 Sq.m 7 less than 15 6 65% 65% 3.0m 3.0m - 3.0m 3.0m 9 Sq.m Inter Mediate Rise 15 less than 30 12 65% 65% 4.0m 4.0m 1.0m and 3.0m 4.0m 4.0m 16 Sq.m Middle Rise 30 less than 50 20 65% 65% 4.0m 5.0m 3.0m both side 5.0m 5.0m 25 Sq.m High Rise 50 less than 75 30 50%*** 50 || 03 Form C - Setbacks &amp; Open Spaces Building Category Building Height (m) Minimum Site Frontage (m) Plot Coverage * Rear Space (m) Side Space (m) Light Well for NLV Non Residential Residential When no NLV is taking this end When NLV is taking this end When no NLV is taking this end When NLV is taking this end Minimum width Minimum Area Low Rise less than 7 6 80%** 65% 2.3m 2.3m - 2.3m 2.3m 5 Sq.m 7 less than 15 6 65% 65% 3.0m 3.0m - 3.0m 3.0m 9 Sq.m Inter Mediate Rise 15 less than 30 12 65% 65% 4.0m 4.0m 1.0m and 3.0m 4.0m 4.0m 16 Sq.m Middle Rise 30 less than 50 20 65% 65% 4.0m 5.0m 3.0m both side 5.0m 5.0m 25 Sq.m High Rise 50 less than 75 30 50%*** 50%*** 5.0m 6.0m 4.0m both sid</x:v>
      </x:c>
      <x:c r="G703" s="11" t="str">
        <x:v>candidate_unreviewed</x:v>
      </x:c>
      <x:c r="H703" s="24" t="b">
        <x:v>0</x:v>
      </x:c>
      <x:c r="I703" s="11" t="str">
        <x:v>Keyword extraction only. Read page image and full context before promoting. English search cannot exclude Sinhala/Tamil or image-only content.</x:v>
      </x:c>
    </x:row>
    <x:row r="704" ht="238" customHeight="1">
      <x:c r="A704" s="8" t="str">
        <x:v>C00703</x:v>
      </x:c>
      <x:c r="B704" s="8" t="str">
        <x:v>SRC_0107</x:v>
      </x:c>
      <x:c r="C704" s="8" t="str">
        <x:v>homagama_dev_plan_eng.pdf</x:v>
      </x:c>
      <x:c r="D704" s="18" t="n">
        <x:v>262</x:v>
      </x:c>
      <x:c r="E704" s="8" t="str">
        <x:v>minimum width</x:v>
      </x:c>
      <x:c r="F704" s="8" t="str">
        <x:v>e of development, land use type of the area, and utilizing capacity of the access road, where the minimum width of the access road is 6 meters. 7.4.21. A preliminary planning clearance shall be obtained from the UDA for the de- velopments in the low-lying lands, marshy lands, paddy ields, ovita or any such areas except identiied development controlled areas and the Public Rec- reation and Open Space Plan (PORS) of the Homagama Development Plan. 7.4.22. Lands identiied for public open spaces, sports, and recreational activities by the PORS plan shall be used only for the permitted uses. 7.4.23. A preliminary planning clearance for residential and environmentally friendly development for existing highlands with adequate access within the Paddy Cu</x:v>
      </x:c>
      <x:c r="G704" s="8" t="str">
        <x:v>candidate_unreviewed</x:v>
      </x:c>
      <x:c r="H704" s="21" t="b">
        <x:v>0</x:v>
      </x:c>
      <x:c r="I704" s="8" t="str">
        <x:v>Keyword extraction only. Read page image and full context before promoting. English search cannot exclude Sinhala/Tamil or image-only content.</x:v>
      </x:c>
    </x:row>
    <x:row r="705" ht="238" customHeight="1">
      <x:c r="A705" s="11" t="str">
        <x:v>C00704</x:v>
      </x:c>
      <x:c r="B705" s="11" t="str">
        <x:v>SRC_0107</x:v>
      </x:c>
      <x:c r="C705" s="11" t="str">
        <x:v>homagama_dev_plan_eng.pdf</x:v>
      </x:c>
      <x:c r="D705" s="22" t="n">
        <x:v>268</x:v>
      </x:c>
      <x:c r="E705" s="11" t="str">
        <x:v>plot coverage</x:v>
      </x:c>
      <x:c r="F705" s="11" t="str">
        <x:v>tent of the land proposed for development and other regulations of the UDA Permissable maximum plot coverage It should be done as per Form C of the 3rd Schedule. Other details regarding the zone • Southern Expressway regulations apply for this zone. For that, it should be done according to the 17th schedule of Planning and Building Guidelines / Regulations (General) published by Gazette No. 2235/54 - 2021.7.8. • The approval is considered for the existing stone crushing industries and to the identiied mining areas of the Geological Survey and Mines Bureau (Annexure 23) which shall not disturb the existing residential develop- ments. There should be no residential development within a 100m radius at least from the stone located ground. Ot</x:v>
      </x:c>
      <x:c r="G705" s="11" t="str">
        <x:v>candidate_unreviewed</x:v>
      </x:c>
      <x:c r="H705" s="24" t="b">
        <x:v>0</x:v>
      </x:c>
      <x:c r="I705" s="11" t="str">
        <x:v>Keyword extraction only. Read page image and full context before promoting. English search cannot exclude Sinhala/Tamil or image-only content.</x:v>
      </x:c>
    </x:row>
    <x:row r="706" ht="238" customHeight="1">
      <x:c r="A706" s="8" t="str">
        <x:v>C00705</x:v>
      </x:c>
      <x:c r="B706" s="8" t="str">
        <x:v>SRC_0107</x:v>
      </x:c>
      <x:c r="C706" s="8" t="str">
        <x:v>homagama_dev_plan_eng.pdf</x:v>
      </x:c>
      <x:c r="D706" s="18" t="n">
        <x:v>273</x:v>
      </x:c>
      <x:c r="E706" s="8" t="str">
        <x:v>plot coverage</x:v>
      </x:c>
      <x:c r="F706" s="8" t="str">
        <x:v>xtent of the land proposed for development and other regulations of the UDA. Permissable maximum plot coverage It should be done as per Form C of the 3rd Schedule. Other details regarding the zone • Southern Expressway regulations apply for this zone. For that, it should be done according to the 17th schedule of Planning and Building Guidelines / Regulations (General) published by Gazette No. 2235/54 - 2021.7.8. • The approval is considered for the existing stone crushing industries and to the identiied mining areas of the Geological Survey and Mines Bureau (Annexure 23) which shall not disturb the existing residential develop- ments. There should be no residential development within a 100m radius at least from the stone located ground</x:v>
      </x:c>
      <x:c r="G706" s="8" t="str">
        <x:v>candidate_unreviewed</x:v>
      </x:c>
      <x:c r="H706" s="21" t="b">
        <x:v>0</x:v>
      </x:c>
      <x:c r="I706" s="8" t="str">
        <x:v>Keyword extraction only. Read page image and full context before promoting. English search cannot exclude Sinhala/Tamil or image-only content.</x:v>
      </x:c>
    </x:row>
    <x:row r="707" ht="210" customHeight="1">
      <x:c r="A707" s="11" t="str">
        <x:v>C00706</x:v>
      </x:c>
      <x:c r="B707" s="11" t="str">
        <x:v>SRC_0107</x:v>
      </x:c>
      <x:c r="C707" s="11" t="str">
        <x:v>homagama_dev_plan_eng.pdf</x:v>
      </x:c>
      <x:c r="D707" s="22" t="n">
        <x:v>277</x:v>
      </x:c>
      <x:c r="E707" s="11" t="str">
        <x:v>plot coverage</x:v>
      </x:c>
      <x:c r="F707" s="11" t="str">
        <x:v>land area to be developed by the developer and other regulations of the UDA. Permissable maximum plot coverage It should be done as per Form C of the 3rd Schedule. Other details regarding the zone - Table 8.3.1 : Guidelines for High-Density Commercial Zone III (Godagama) Prepared by : Western Province division, UDA Prepared by : Western Province division, UDA Chapter 08 Proposed Development Zones and Guidlines High-Density Commercial Zone II (Kahathuduwa) Guidlines and permissible uses for High-Density Commercial Zone - II (Kahathuduwa) High-Density Commercial Zones III (Godagama) Guidlines and apermissible uses for High-Density Commercial Zone - III (Godagama)</x:v>
      </x:c>
      <x:c r="G707" s="11" t="str">
        <x:v>candidate_unreviewed</x:v>
      </x:c>
      <x:c r="H707" s="24" t="b">
        <x:v>0</x:v>
      </x:c>
      <x:c r="I707" s="11" t="str">
        <x:v>Keyword extraction only. Read page image and full context before promoting. English search cannot exclude Sinhala/Tamil or image-only content.</x:v>
      </x:c>
    </x:row>
    <x:row r="708" ht="182" customHeight="1">
      <x:c r="A708" s="8" t="str">
        <x:v>C00707</x:v>
      </x:c>
      <x:c r="B708" s="8" t="str">
        <x:v>SRC_0107</x:v>
      </x:c>
      <x:c r="C708" s="8" t="str">
        <x:v>homagama_dev_plan_eng.pdf</x:v>
      </x:c>
      <x:c r="D708" s="18" t="n">
        <x:v>281</x:v>
      </x:c>
      <x:c r="E708" s="8" t="str">
        <x:v>plot coverage</x:v>
      </x:c>
      <x:c r="F708" s="8" t="str">
        <x:v>tent of the land proposed for development and other regulations of the UDA. Permissable maximum plot coverage It should be done as per Form C of the 3rd Schedule. Table 8.4.1 : Guidelines for Midium density residential zone Prepared by : Western Province division, UDA Chapter 08 Proposed Development Zones and Guidlines High-Density Commercial Zones III (Godagama) Guidelines and apermissible uses for High-Density Commercial Zone - III (Godagama) Medium-Density Residential Zone Guidelines and Permissible Uses for the Midium Density Residential Zone</x:v>
      </x:c>
      <x:c r="G708" s="8" t="str">
        <x:v>candidate_unreviewed</x:v>
      </x:c>
      <x:c r="H708" s="21" t="b">
        <x:v>0</x:v>
      </x:c>
      <x:c r="I708" s="8" t="str">
        <x:v>Keyword extraction only. Read page image and full context before promoting. English search cannot exclude Sinhala/Tamil or image-only content.</x:v>
      </x:c>
    </x:row>
    <x:row r="709" ht="238" customHeight="1">
      <x:c r="A709" s="11" t="str">
        <x:v>C00708</x:v>
      </x:c>
      <x:c r="B709" s="11" t="str">
        <x:v>SRC_0107</x:v>
      </x:c>
      <x:c r="C709" s="11" t="str">
        <x:v>homagama_dev_plan_eng.pdf</x:v>
      </x:c>
      <x:c r="D709" s="22" t="n">
        <x:v>288</x:v>
      </x:c>
      <x:c r="E709" s="11" t="str">
        <x:v>plot coverage</x:v>
      </x:c>
      <x:c r="F709" s="11" t="str">
        <x:v>xtent of the land proposed for development and other regulations of the UDA. Permissable maximum plot coverage All uses – 60% Other details regarding the zone • The approval is considered for the existing metal crushing industries and to the identiied mining areas of the Geological Survey and Mines Bureau (Annexure 23) which shall not disturb the existing residential developments. There should be no residential development within a 100m radius at least from the metal ground. Otherwise, the approval will be considered with the resettlement plan. When considering residential developments, it should be 100 meters away from the boundary where the rock is located. Table 8.5.1 : Guidelines for High-Density Education And Innovation Zone Prepared</x:v>
      </x:c>
      <x:c r="G709" s="11" t="str">
        <x:v>candidate_unreviewed</x:v>
      </x:c>
      <x:c r="H709" s="24" t="b">
        <x:v>0</x:v>
      </x:c>
      <x:c r="I709" s="11" t="str">
        <x:v>Keyword extraction only. Read page image and full context before promoting. English search cannot exclude Sinhala/Tamil or image-only content.</x:v>
      </x:c>
    </x:row>
    <x:row r="710" ht="238" customHeight="1">
      <x:c r="A710" s="8" t="str">
        <x:v>C00709</x:v>
      </x:c>
      <x:c r="B710" s="8" t="str">
        <x:v>SRC_0107</x:v>
      </x:c>
      <x:c r="C710" s="8" t="str">
        <x:v>homagama_dev_plan_eng.pdf</x:v>
      </x:c>
      <x:c r="D710" s="18" t="n">
        <x:v>292</x:v>
      </x:c>
      <x:c r="E710" s="8" t="str">
        <x:v>plot coverage</x:v>
      </x:c>
      <x:c r="F710" s="8" t="str">
        <x:v>tent of the land proposed for development and other regulations of the UDA. Permissable maximum plot coverage It should be done as per Form C of the 3rd Schedule. Other details regarding the zone • The new industries in the Tempel berg Industrial Zone will be considered on the recommendation of the CEA. • Permits to dismantle existing quarries without affecting existing residential practices in the region will be given. • The approval will be considered for the existing metal crushing industries and the identiied mining areas of the Geological Survey and Mines Bureau (Annexure 23) which shall not disturb the existing residential developments. There should be no residential development within a 100m radius at least from the metal ground</x:v>
      </x:c>
      <x:c r="G710" s="8" t="str">
        <x:v>candidate_unreviewed</x:v>
      </x:c>
      <x:c r="H710" s="21" t="b">
        <x:v>0</x:v>
      </x:c>
      <x:c r="I710" s="8" t="str">
        <x:v>Keyword extraction only. Read page image and full context before promoting. English search cannot exclude Sinhala/Tamil or image-only content.</x:v>
      </x:c>
    </x:row>
    <x:row r="711" ht="224" customHeight="1">
      <x:c r="A711" s="11" t="str">
        <x:v>C00710</x:v>
      </x:c>
      <x:c r="B711" s="11" t="str">
        <x:v>SRC_0107</x:v>
      </x:c>
      <x:c r="C711" s="11" t="str">
        <x:v>homagama_dev_plan_eng.pdf</x:v>
      </x:c>
      <x:c r="D711" s="22" t="n">
        <x:v>296</x:v>
      </x:c>
      <x:c r="E711" s="11" t="str">
        <x:v>plot coverage</x:v>
      </x:c>
      <x:c r="F711" s="11" t="str">
        <x:v>ng height determined in the zoning factor and other regulations of the UDA. Permissable maximum plot coverage It should be done as per Form C of the 3rd Schedule. Other details regarding the zone • The minimum land plot for residential development is 10 perches. • Permitting of uses and warehouse complexes in High Density Commercial Zone-I where any plot faces Ambulgama-Panagoda Road is considered. • Mining permits will be considered in areas identiied by the Geological Survey and Mines Bureau (Annexure 23), with the exception of Linawatte and Kurugala. When considering residential developments, it should be 100 meters away from the boundary where the rock is located. • Mineral deposits have been identiied by the Geological Survey</x:v>
      </x:c>
      <x:c r="G711" s="11" t="str">
        <x:v>candidate_unreviewed</x:v>
      </x:c>
      <x:c r="H711" s="24" t="b">
        <x:v>0</x:v>
      </x:c>
      <x:c r="I711" s="11" t="str">
        <x:v>Keyword extraction only. Read page image and full context before promoting. English search cannot exclude Sinhala/Tamil or image-only content.</x:v>
      </x:c>
    </x:row>
    <x:row r="712" ht="238" customHeight="1">
      <x:c r="A712" s="8" t="str">
        <x:v>C00711</x:v>
      </x:c>
      <x:c r="B712" s="8" t="str">
        <x:v>SRC_0107</x:v>
      </x:c>
      <x:c r="C712" s="8" t="str">
        <x:v>homagama_dev_plan_eng.pdf</x:v>
      </x:c>
      <x:c r="D712" s="18" t="n">
        <x:v>312</x:v>
      </x:c>
      <x:c r="E712" s="8" t="str">
        <x:v>minimum width</x:v>
      </x:c>
      <x:c r="F712" s="8" t="str">
        <x:v>category A, B and C above, all roads maintained by the Homagama PS and non-private ownership. The minimum width of proposed D-type roads shall be 6 meter (The list of roads gazetted by the Homagama PS is given in Annex 25). 9.1.5. Roads operating on building limits In addition to the roads identiied to be developed on a priority basis for the next 10 years under the Homagama Development Plan, building lines have been introduced considering the future development needs of the existing roads. Accordingly, building restrictions will apply to the following roads. The following roads belonging to the Provincial Road Development Authority, which were not included in "A and B" type roads – (The building line is 9 meters). 1. Homagama Hospital Road 2.</x:v>
      </x:c>
      <x:c r="G712" s="8" t="str">
        <x:v>candidate_unreviewed</x:v>
      </x:c>
      <x:c r="H712" s="21" t="b">
        <x:v>0</x:v>
      </x:c>
      <x:c r="I712" s="8" t="str">
        <x:v>Keyword extraction only. Read page image and full context before promoting. English search cannot exclude Sinhala/Tamil or image-only content.</x:v>
      </x:c>
    </x:row>
    <x:row r="713" ht="630" customHeight="1">
      <x:c r="A713" s="11" t="str">
        <x:v>C00712</x:v>
      </x:c>
      <x:c r="B713" s="11" t="str">
        <x:v>SRC_0107</x:v>
      </x:c>
      <x:c r="C713" s="11" t="str">
        <x:v>homagama_dev_plan_eng.pdf</x:v>
      </x:c>
      <x:c r="D713" s="22" t="n">
        <x:v>351</x:v>
      </x:c>
      <x:c r="E713" s="11" t="str">
        <x:v>plot coverage</x:v>
      </x:c>
      <x:c r="F713" s="11" t="str">
        <x:v>333 STEP NO: 05 – Calculation of land area proposed to allocate for major landuses in 2030 Zone Plot Coverage Commercial (sq.m.) commercial Developable Footprint Plot Coverage Residential (sq.m.) residential Developable Footprint Plot Coverage Industrial (sq.m.) Industrial Developable Foot print Plot Coverage Institutions (sq.m.) Institutional Developable foot print total developable foot print High Density Commercial Zone 1(Homagama) 65 1,216,263.45 790,571.24 65 6,486,738.40 4,216,379.96 65 162,168.46 105,409.50 65 243,252.69 158,114.25 5,270,474.95 High Density Commercial Zone 2(Kahathuduwa) 65 306,463.00 199,200.95 65 2,666,228.10 1,733,048.27 65 30,646.30 19,920.10 65 61,292.60 39,840.19 1,992,009.50 High || r major landuses in 2030 Zone Plot Coverage Commercial (sq.m.) commercial Developable Footprint Plot Coverage Residential (sq.m.) residential Developable Footprint Plot Coverage Industrial (sq.m.) Industrial Developable Foot print Plot Coverage Institutions (sq.m.) Institutional Developable foot print total developable foot print High Density Commercial Zone 1(Homagama) 65 1,216,263.45 790,571.24 65 6,486,738.40 4,216,379.96 65 162,168.46 105,409.50 65 243,252.69 158,114.25 5,270,474.95 High Density Commercial Zone 2(Kahathuduwa) 65 306,463.00 199,200.95 65 2,666,228.10 1,733,048.27 65 30,646.30 19,920.10 65 61,292.60 39,840.19 1,992,009.50 High Density Commercial Zone 3(Godagama) 65 119,897.88 77,933.62 65 1,8 || ial Developable Footprint Plot Coverage Residential (sq.m.) residential Developable Footprint Plot Coverage Industrial (sq.m.) Industrial Developable Foot print Plot Coverage Institutions (sq.m.) Institutional Developable foot print total developable foot print High Density Commercial Zone 1(Homagama) 65 1,216,263.45 790,571.24 65 6,486,738.40 4,216,379.96 65 162,168.46 105,409.50 65 243,252.69 158,114.25 5,270,474.95 High Density Commercial Zone 2(Kahathuduwa) 65 306,463.00 199,200.95 65 2,666,228.10 1,733,048.27 65 30,646.30 19,920.10 65 61,292.60 39,840.19 1,992,009.50 High Density Commercial Zone 3(Godagama) 65 119,897.88 77,933.62 65 1,838,434.16 1,194,982.20 65 - - 65 39,965.96 25,977.87 1,298,893.70 M</x:v>
      </x:c>
      <x:c r="G713" s="11" t="str">
        <x:v>candidate_unreviewed</x:v>
      </x:c>
      <x:c r="H713" s="24" t="b">
        <x:v>0</x:v>
      </x:c>
      <x:c r="I713" s="11" t="str">
        <x:v>Keyword extraction only. Read page image and full context before promoting. English search cannot exclude Sinhala/Tamil or image-only content.</x:v>
      </x:c>
    </x:row>
    <x:row r="714" ht="630" customHeight="1">
      <x:c r="A714" s="8" t="str">
        <x:v>C00713</x:v>
      </x:c>
      <x:c r="B714" s="8" t="str">
        <x:v>SRC_0109</x:v>
      </x:c>
      <x:c r="C714" s="8" t="str">
        <x:v>kotte_development_plan_Eng.pdf.pdf</x:v>
      </x:c>
      <x:c r="D714" s="18" t="n">
        <x:v>206</x:v>
      </x:c>
      <x:c r="E714" s="8" t="str">
        <x:v>plot coverage, setbacks</x:v>
      </x:c>
      <x:c r="F714" s="8" t="str">
        <x:v>d including parking areas Number of units allowed for each road shall not be changed * Where no plot coverage specified under the zoning regulations Table 7.3: Form “B” (No of floors for the development which having access through 3m and 4.5m road width under schedule 6 in gazette notification No.2235/54, dated Jul 8 2021) Source: Urban Development Authority, 2021 Table 7.4: Form “E”, Open space as per the Form “E” of section 6 in Gazette Notification No. 2235/54, dated Jul 8 2021. Source: Urban Development Authority, 2021 Form E - Setbacks &amp; Open Spaces Building Category Build- ing Height (m) Mini- mum Site Front- age (m) Plot Coverage * Rear Space (m) Side Space (m) Light Well for NLV Non Resi- dential Resi- dential When no NL || tte Notification No. 2235/54, dated Jul 8 2021. Source: Urban Development Authority, 2021 Form E - Setbacks &amp; Open Spaces Building Category Build- ing Height (m) Mini- mum Site Front- age (m) Plot Coverage * Rear Space (m) Side Space (m) Light Well for NLV Non Resi- dential Resi- dential When no NLV is taking this end When NLV is taking this end When NLV is taking this end When no NLV is taking this end When NLV is taking this end Min- Mini- mum Area Low Rise less than 7 6 80%** 65% 2.3m 2.3m - 2.3m 2.3m 5 Sq.m 7 less than 15 6 65% 65% 3.0m 3.0m - 3.0m 3.0m 9 Sq.m Inter Mediate Rise 15 less than 30 12 65% 65% 4.0m 4.0m 1.0m and 3.0m 4.0m 4.0m 16 Sq.m Middle Rise 30 less than 50 20 65% 65% 4.0m 5.0m 3.0m bo || Setbacks &amp; Open Spaces Building Category Build- ing Height (m) Mini- mum Site Front- age (m) Plot Coverage * Rear Space (m) Side Space (m) Light Well for NLV Non Resi- dential Resi- dential When no NLV is taking this end When NLV is taking this end When NLV is taking this end When no NLV is taking this end When NLV is taking this end Min- Mini- mum Area Low Rise less than 7 6 80%** 65% 2.3m 2.3m - 2.3m 2.3m 5 Sq.m 7 less than 15 6 65% 65% 3.0m 3.0m - 3.0m 3.0m 9 Sq.m Inter Mediate Rise 15 less than 30 12 65% 65% 4.0m 4.0m 1.0m and 3.0m 4.0m 4.0m 16 Sq.m Middle Rise 30 less than 50 20 65% 65% 4.0m 5.0m 3.0m both side 5.0m 5.0m 25 Sq.m High Rise 50 less than 75 30 50%*** 50%*** 5.0m 6.0m 4.0m both side 6.0m</x:v>
      </x:c>
      <x:c r="G714" s="8" t="str">
        <x:v>candidate_unreviewed</x:v>
      </x:c>
      <x:c r="H714" s="21" t="b">
        <x:v>0</x:v>
      </x:c>
      <x:c r="I714" s="8" t="str">
        <x:v>Keyword extraction only. Read page image and full context before promoting. English search cannot exclude Sinhala/Tamil or image-only content.</x:v>
      </x:c>
    </x:row>
    <x:row r="715" ht="448" customHeight="1">
      <x:c r="A715" s="11" t="str">
        <x:v>C00714</x:v>
      </x:c>
      <x:c r="B715" s="11" t="str">
        <x:v>SRC_0109</x:v>
      </x:c>
      <x:c r="C715" s="11" t="str">
        <x:v>kotte_development_plan_Eng.pdf.pdf</x:v>
      </x:c>
      <x:c r="D715" s="22" t="n">
        <x:v>209</x:v>
      </x:c>
      <x:c r="E715" s="11" t="str">
        <x:v>minimum width, plot coverage</x:v>
      </x:c>
      <x:c r="F715" s="11" t="str">
        <x:v>consider for approving fuel stations and minimum road frontage shall be 100 ft. 17. The maximum Plot coverage for schools, Educational institutes and hospitals should not exceed 50%. 18. Where the associated access road of provided survey plan is less than 3 m, Authority holds the power to reserve and maintain the road reservation from the proposed land which served by the mentioned narrow road when there are no other access ways. 19. Main planning committee of the Urban Development Authority shall have powers to made final decision when there is an issue regarding legalized plan, development or building regulation or its interpretation or practical application. 20. None shall be used, a land or a building except the use which it was approved || tion space plan or Kotte zoning plan. 24. In case of nonresidential development where requires 9 m minimum width access road but having 6 m hence of the scale of development, land use, category of the development and service level of existing roads, authority holds the power to develop 9 m width road using its facilitated land plot as instructed by the preliminary planning clearance. 25. For the high lands where having proper access road in the areas of Paddy Cultivation and Wetland Agricultural Zone, it is allowed to develop residential and ecofriendly developments with the consents and approvals of relevant authorities /agencies under the recommendations of preliminary planning clearance. 26. The Authority shall have powers to decide final appr</x:v>
      </x:c>
      <x:c r="G715" s="11" t="str">
        <x:v>candidate_unreviewed</x:v>
      </x:c>
      <x:c r="H715" s="24" t="b">
        <x:v>0</x:v>
      </x:c>
      <x:c r="I715" s="11" t="str">
        <x:v>Keyword extraction only. Read page image and full context before promoting. English search cannot exclude Sinhala/Tamil or image-only content.</x:v>
      </x:c>
    </x:row>
    <x:row r="716" ht="238" customHeight="1">
      <x:c r="A716" s="8" t="str">
        <x:v>C00715</x:v>
      </x:c>
      <x:c r="B716" s="8" t="str">
        <x:v>SRC_0109</x:v>
      </x:c>
      <x:c r="C716" s="8" t="str">
        <x:v>kotte_development_plan_Eng.pdf.pdf</x:v>
      </x:c>
      <x:c r="D716" s="18" t="n">
        <x:v>213</x:v>
      </x:c>
      <x:c r="E716" s="8" t="str">
        <x:v>plot coverage</x:v>
      </x:c>
      <x:c r="F716" s="8" t="str">
        <x:v>ette notification No. 54/2235 dated 08.07.2021by the Urban Development Authority) Allowed maximum plot coverage Should be accordance with “Form E” in Schedule 6 (Gazette notification No. 54/2235 dated 08.07.2021by the Urban Development Authority) Open Spaces Should be accordance with “Form E” in Schedule 6 Minimum plot size for subdivision 150 Sq.m Permissible uses Main use Permissible use (Should be accor- dance with allowed uses in Table 8.10 - Form “F” and minimum plot size) 1. Residential 1,2,3,4,5,6,7,8,9,10,11,12,13,14,15, 16,17 2. Health 1,2,3,4,5,6,7,9,10 3. Office and Institutional 1,2,3,4,5,6,7,8 4.Commercial 1,2,3,4,5,6,7,8,9,10,11,12,13,14,15,1 6,17,18,19,20,21 5. Educational 1,2,3,4,5,6,7,8,9,10,11 6. Customer Care services</x:v>
      </x:c>
      <x:c r="G716" s="8" t="str">
        <x:v>candidate_unreviewed</x:v>
      </x:c>
      <x:c r="H716" s="21" t="b">
        <x:v>0</x:v>
      </x:c>
      <x:c r="I716" s="8" t="str">
        <x:v>Keyword extraction only. Read page image and full context before promoting. English search cannot exclude Sinhala/Tamil or image-only content.</x:v>
      </x:c>
    </x:row>
    <x:row r="717" ht="616" customHeight="1">
      <x:c r="A717" s="11" t="str">
        <x:v>C00716</x:v>
      </x:c>
      <x:c r="B717" s="11" t="str">
        <x:v>SRC_0109</x:v>
      </x:c>
      <x:c r="C717" s="11" t="str">
        <x:v>kotte_development_plan_Eng.pdf.pdf</x:v>
      </x:c>
      <x:c r="D717" s="22" t="n">
        <x:v>219</x:v>
      </x:c>
      <x:c r="E717" s="11" t="str">
        <x:v>plot coverage</x:v>
      </x:c>
      <x:c r="F717" s="11" t="str">
        <x:v>obtain from the parliament secretary (When it deemed by Preliminary planning clearance of UDA.) • Plot coverage plot size, building height and open space need to be considered on Geographical condition of the land. • Such uses need to be compatible with existing uses. Interrupting the common usages, damaging the environment or violating the privacy in any means are not allowed • Such uses should not disturb the transport need &amp; risks of transportation • Proposed land extent should be sufficient for the proposed use. Since, it is required to facilitate the needs of parking, water supply, waste disposal, other infrastructure including fire protections within the site. 8.7 Wetland Protection Zone Name of the Main zone Wetland Protection Zone Name || ble Zone Factor Not applicable Allowed maximum FAR/Number of Floors Not applicable Allowed maximum plot coverage Not applicable Open Spaces Not applicable Minimum plot size for subdivi- sion Not applicable Permissible uses Permissible uses Shall follow the recommendations of Department of Wild Life, Sri Lanka Land Development Corporation and Irrigation Department. Other regulation for the Zone 1. Volume of Flood Storage 2. Allowed minimum plot size for building construction 3. Allowed land sizes for filling 4. Maximum plot coverage (Submerged area of the building) 5. Allowed projects of maximum infrastructure (Electricity Supply, Telephone, Roads, etc…) 6. Permissible maximum ground floor Area for separate buildings 7. Allowed maximum buildin || Allowed minimum plot size for building construction 3. Allowed land sizes for filling 4. Maximum plot coverage (Submerged area of the building) 5. Allowed projects of maximum infrastructure (Electricity Supply, Telephone, Roads, etc…) 6. Permissible maximum ground floor Area for separate buildings 7. Allowed maximum building height 8. Type of Building 9. Sub division 10. Demarcate the boundaries 11. Relaxation of the above conditions in special cases Development regulations which were declared by gazette based on relevant acts can be imposed with regards to permissible uses</x:v>
      </x:c>
      <x:c r="G717" s="11" t="str">
        <x:v>candidate_unreviewed</x:v>
      </x:c>
      <x:c r="H717" s="24" t="b">
        <x:v>0</x:v>
      </x:c>
      <x:c r="I717" s="11" t="str">
        <x:v>Keyword extraction only. Read page image and full context before promoting. English search cannot exclude Sinhala/Tamil or image-only content.</x:v>
      </x:c>
    </x:row>
    <x:row r="718" ht="350" customHeight="1">
      <x:c r="A718" s="8" t="str">
        <x:v>C00717</x:v>
      </x:c>
      <x:c r="B718" s="8" t="str">
        <x:v>SRC_0109</x:v>
      </x:c>
      <x:c r="C718" s="8" t="str">
        <x:v>kotte_development_plan_Eng.pdf.pdf</x:v>
      </x:c>
      <x:c r="D718" s="18" t="n">
        <x:v>220</x:v>
      </x:c>
      <x:c r="E718" s="8" t="str">
        <x:v>plot coverage</x:v>
      </x:c>
      <x:c r="F718" s="8" t="str">
        <x:v>ble Zone Factor Not applicable Allowed maximum FAR/Number of Floors Not applicable Allowed maximum plot coverage Not applicable Open Spaces Not applicable Minimum plot size for subdivision Not applicable Permissible uses Permissible uses i. Wetland nature parks ii. Echo friendly restaurants – 1200 sq.ft(Built on columns) iii. Small scale conference halls (Built on columns) 1500sqft, iv. Seat capacity -75, v. Stage 30’x 50 vi. Outdoor fitness areas / Places with exercise facilities vii. Wetland Museums- 1000 sq.ft (Built on columns) viii. Cabana(Built on columns) ix. Places where can play only in dry weather x. Traditional fishing industries xi. Collecting flowers xii. Water transportations xiii. Scenic wetlands xiv. Government approved gener || acilities &amp; waste disposal and remedies can be used to control the workplace if necessary. Maximum plot coverage(Submerged areas for buildings) 1% of total project area All buildings which are on towers are permitted.(Except Toilet) Allowed projects of maximum infrastructure (Electricity Supply, Telephone, Roads, etc… 4% of total project area 6.Permissible maximum ground floor Area for each building 100m2</x:v>
      </x:c>
      <x:c r="G718" s="8" t="str">
        <x:v>candidate_unreviewed</x:v>
      </x:c>
      <x:c r="H718" s="21" t="b">
        <x:v>0</x:v>
      </x:c>
      <x:c r="I718" s="8" t="str">
        <x:v>Keyword extraction only. Read page image and full context before promoting. English search cannot exclude Sinhala/Tamil or image-only content.</x:v>
      </x:c>
    </x:row>
    <x:row r="719" ht="182" customHeight="1">
      <x:c r="A719" s="11" t="str">
        <x:v>C00718</x:v>
      </x:c>
      <x:c r="B719" s="11" t="str">
        <x:v>SRC_0109</x:v>
      </x:c>
      <x:c r="C719" s="11" t="str">
        <x:v>kotte_development_plan_Eng.pdf.pdf</x:v>
      </x:c>
      <x:c r="D719" s="22" t="n">
        <x:v>221</x:v>
      </x:c>
      <x:c r="E719" s="11" t="str">
        <x:v>plot coverage</x:v>
      </x:c>
      <x:c r="F719" s="11" t="str">
        <x:v>ble Zone Factor Not applicable Allowed maximum FAR/Number of Floors Not applicable Allowed maximum plot coverage Not applicable Open Spaces Not applicable Not applicable Minimum plot size for subdivision Not applicable Permissible uses Permissible uses i. Only approved uses in accordance with the Agrarian Department Act are possible in the existing paddy cultivated land, fallow paddy lands and related areas such as Deniya, Ovita. ii. Wet land based Agriculture iii. orchid cultivation (Api Shaka) iv. Echo friendly aquaculture ponds, reed cultivation.</x:v>
      </x:c>
      <x:c r="G719" s="11" t="str">
        <x:v>candidate_unreviewed</x:v>
      </x:c>
      <x:c r="H719" s="24" t="b">
        <x:v>0</x:v>
      </x:c>
      <x:c r="I719" s="11" t="str">
        <x:v>Keyword extraction only. Read page image and full context before promoting. English search cannot exclude Sinhala/Tamil or image-only content.</x:v>
      </x:c>
    </x:row>
    <x:row r="720" ht="126" customHeight="1">
      <x:c r="A720" s="8" t="str">
        <x:v>C00719</x:v>
      </x:c>
      <x:c r="B720" s="8" t="str">
        <x:v>SRC_0109</x:v>
      </x:c>
      <x:c r="C720" s="8" t="str">
        <x:v>kotte_development_plan_Eng.pdf.pdf</x:v>
      </x:c>
      <x:c r="D720" s="18" t="n">
        <x:v>249</x:v>
      </x:c>
      <x:c r="E720" s="8" t="str">
        <x:v>staircase</x:v>
      </x:c>
      <x:c r="F720" s="8" t="str">
        <x:v>h are made with calamander wood .Main living area comprise with several access doors and wood made staircase was used to connect upper floor which finished with strong manner using the system of “soldara”.Balcony was placed to watch surrounding from upper floor with beautiful carvings. This land was currently occupied by private party, by force and court case was filed against the incident.</x:v>
      </x:c>
      <x:c r="G720" s="8" t="str">
        <x:v>candidate_unreviewed</x:v>
      </x:c>
      <x:c r="H720" s="21" t="b">
        <x:v>0</x:v>
      </x:c>
      <x:c r="I720" s="8" t="str">
        <x:v>Keyword extraction only. Read page image and full context before promoting. English search cannot exclude Sinhala/Tamil or image-only content.</x:v>
      </x:c>
    </x:row>
    <x:row r="721" ht="336" customHeight="1">
      <x:c r="A721" s="11" t="str">
        <x:v>C00720</x:v>
      </x:c>
      <x:c r="B721" s="11" t="str">
        <x:v>SRC_0112</x:v>
      </x:c>
      <x:c r="C721" s="11" t="str">
        <x:v>mcK3c2YfvS.pdf</x:v>
      </x:c>
      <x:c r="D721" s="22" t="n">
        <x:v>6</x:v>
      </x:c>
      <x:c r="E721" s="11" t="str">
        <x:v>light and ventilation, minimum width</x:v>
      </x:c>
      <x:c r="F721" s="11" t="str">
        <x:v>n a land that is subject to sub-division or amalgamation, the minimum requirements for open space, light and ventilation, and other requirements for such building shall be in compliance with these regulations. (2) The Relevant Authority may request the Developer or his agent to furnish a copy of the approved building plan including floor area. 16. A sub divided, amalgamated or re-surveyed land lots shall be utilized only for the purpose for which the Relevant Authority had approved the same, unless otherwise stated. 17. Where sub-division of a particular land is adjoining a road, drain, river or any other water body or water source, the proposed plan for sub division of such land shall comply with the road reservations and other condi || g or proposed street in compliance with the requirements as specified under Schedule 4. (2) The minimum width of a carriageway for the street shall be not less than 3.0m. (3) Any carriageway of a road, which is less than 7.0m in width, shall have the same width, and drains and other requirements incidental thereto shall be reserved from such land.</x:v>
      </x:c>
      <x:c r="G721" s="11" t="str">
        <x:v>candidate_unreviewed</x:v>
      </x:c>
      <x:c r="H721" s="24" t="b">
        <x:v>0</x:v>
      </x:c>
      <x:c r="I721" s="11" t="str">
        <x:v>Keyword extraction only. Read page image and full context before promoting. English search cannot exclude Sinhala/Tamil or image-only content.</x:v>
      </x:c>
    </x:row>
    <x:row r="722" ht="462" customHeight="1">
      <x:c r="A722" s="8" t="str">
        <x:v>C00721</x:v>
      </x:c>
      <x:c r="B722" s="8" t="str">
        <x:v>SRC_0112</x:v>
      </x:c>
      <x:c r="C722" s="8" t="str">
        <x:v>mcK3c2YfvS.pdf</x:v>
      </x:c>
      <x:c r="D722" s="18" t="n">
        <x:v>7</x:v>
      </x:c>
      <x:c r="E722" s="8" t="str">
        <x:v>minimum width</x:v>
      </x:c>
      <x:c r="F722" s="8" t="str">
        <x:v>road may have frontage less than the width specified in the regulations herein, essentially with a minimum width of 3.0m 19. (1) Where Street Lines are not applicable for any access road of a land sub division shall be made considering the existing physical width of such road. (2) Where a land contains access by a road with a Street Line, the number of Lots in a sub-division of such land shall be decided on the basis of width of the Street Line of the road. Widening of such Street Line shall be made equally on either side from the centre line of such road and the land subjected to widening of such road shall be bequeathed to the Relevant Authority without any monetary consideration by a deed of conveyance or transfer for the purpose of w || such road may be reduced, subject to the recommendation of the Planning Committee, if- (a) the minimum width of 3.0m is available in the access road; (b) the reduction shall not apply for new land sub divisions; and (c) the proposal is to improve the status of an underserved settlement. Provided that, every such street shall connect to a public or private road which has a width of not less than 7.0m and of which the owner possesses the right of way from such private street. 20. The minimum width of an access road to a Lot that is for residential use, shall be in accordance with the schedule 4 || han 7.0m and of which the owner possesses the right of way from such private street. 20. The minimum width of an access road to a Lot that is for residential use, shall be in accordance with the schedule 4</x:v>
      </x:c>
      <x:c r="G722" s="8" t="str">
        <x:v>candidate_unreviewed</x:v>
      </x:c>
      <x:c r="H722" s="21" t="b">
        <x:v>0</x:v>
      </x:c>
      <x:c r="I722" s="8" t="str">
        <x:v>Keyword extraction only. Read page image and full context before promoting. English search cannot exclude Sinhala/Tamil or image-only content.</x:v>
      </x:c>
    </x:row>
    <x:row r="723" ht="224" customHeight="1">
      <x:c r="A723" s="11" t="str">
        <x:v>C00722</x:v>
      </x:c>
      <x:c r="B723" s="11" t="str">
        <x:v>SRC_0112</x:v>
      </x:c>
      <x:c r="C723" s="11" t="str">
        <x:v>mcK3c2YfvS.pdf</x:v>
      </x:c>
      <x:c r="D723" s="22" t="n">
        <x:v>9</x:v>
      </x:c>
      <x:c r="E723" s="11" t="str">
        <x:v>plot coverage</x:v>
      </x:c>
      <x:c r="F723" s="11" t="str">
        <x:v>oor pavilion, swimming pool, building for sports and recreational activities, subject to a maximum plot coverage of 25% and maximum height of 5.0m of such buildings. (6) The applicant shall develop such open space in consultation with the Relevant Authority 27. (1) The Relevant Authority shall issue a development permit with guidelines for sub- division, amalgamation or any other developments within the land. (2) A Certificate of Conformity (hereinafter referred as the ‘CoC’) in respect of a land sub division or amalgamation shall be granted by the Relevant Authority in pursuance with Regulation 82, provided the requirements set out in the development permit is satisfied. (3) No person shall have the right to advertise, promote or</x:v>
      </x:c>
      <x:c r="G723" s="11" t="str">
        <x:v>candidate_unreviewed</x:v>
      </x:c>
      <x:c r="H723" s="24" t="b">
        <x:v>0</x:v>
      </x:c>
      <x:c r="I723" s="11" t="str">
        <x:v>Keyword extraction only. Read page image and full context before promoting. English search cannot exclude Sinhala/Tamil or image-only content.</x:v>
      </x:c>
    </x:row>
    <x:row r="724" ht="392" customHeight="1">
      <x:c r="A724" s="8" t="str">
        <x:v>C00723</x:v>
      </x:c>
      <x:c r="B724" s="8" t="str">
        <x:v>SRC_0112</x:v>
      </x:c>
      <x:c r="C724" s="8" t="str">
        <x:v>mcK3c2YfvS.pdf</x:v>
      </x:c>
      <x:c r="D724" s="18" t="n">
        <x:v>14</x:v>
      </x:c>
      <x:c r="E724" s="8" t="str">
        <x:v>staircase</x:v>
      </x:c>
      <x:c r="F724" s="8" t="str">
        <x:v>(c) all Rooms, compartments, corridors, staircases, verandas and roof terrace of a building and the thickness of the wall and columns thereof; (d) dimensions of every Air Well, back yard, court yard and open spaces in and around the building and the distances between the External Walls of the building and to the centre line of road/s, road reservation and drainage reservation within the lot or adjoining thereto; (e) dimensions of spaces between all walls, columns and piers; (f) the positions of all sanitary appliances, vent pipes and floor traps and their connections to drain lines; (g) surface drainage in or around the building with arrows indicating the direction of flow || nts or units shall be indicated on the floor plan; (j) allocated space for parking bays, ramps, staircases, landings, generators, electrical transformers, central point of LP Gas distribution etc.; (k) all pipes and appurtenance used for the harvesting of rainwater shall be differentiated by colour and markings. (l) where a Condominium property is concerned, the statutory requirements given under the Apartment Ownership Law No. 11 of 1973 and its amendments shall be complied with and plans shall be prepared and endorsed by a Relevant Qualified Person; and (m) the position of garbage disposal point as may be required by the Relevant Authority.</x:v>
      </x:c>
      <x:c r="G724" s="8" t="str">
        <x:v>candidate_unreviewed</x:v>
      </x:c>
      <x:c r="H724" s="21" t="b">
        <x:v>0</x:v>
      </x:c>
      <x:c r="I724" s="8" t="str">
        <x:v>Keyword extraction only. Read page image and full context before promoting. English search cannot exclude Sinhala/Tamil or image-only content.</x:v>
      </x:c>
    </x:row>
    <x:row r="725" ht="224" customHeight="1">
      <x:c r="A725" s="11" t="str">
        <x:v>C00724</x:v>
      </x:c>
      <x:c r="B725" s="11" t="str">
        <x:v>SRC_0112</x:v>
      </x:c>
      <x:c r="C725" s="11" t="str">
        <x:v>mcK3c2YfvS.pdf</x:v>
      </x:c>
      <x:c r="D725" s="22" t="n">
        <x:v>18</x:v>
      </x:c>
      <x:c r="E725" s="11" t="str">
        <x:v>plot coverage</x:v>
      </x:c>
      <x:c r="F725" s="11" t="str">
        <x:v>the purpose of computing as the Permissible Floor Area for the Development Activity. 48. The plot coverage shall comply with the requirements specified in the relevant Development Plan. 49. (1) The width of the Street Line shall be considered as the width of the access road for the purpose of calculation of the Permissible Floor Area, where there is no Street Line which is applicable for a road, the existing physical width of the road from which the land has right of way, shall be considered for the same. (2) Where there is more than one access road over which the land has a right of way having a width not less than 6m leads towards two different roads, both roads shall be considered to decide the Permissible Floor Area for a giv</x:v>
      </x:c>
      <x:c r="G725" s="11" t="str">
        <x:v>candidate_unreviewed</x:v>
      </x:c>
      <x:c r="H725" s="24" t="b">
        <x:v>0</x:v>
      </x:c>
      <x:c r="I725" s="11" t="str">
        <x:v>Keyword extraction only. Read page image and full context before promoting. English search cannot exclude Sinhala/Tamil or image-only content.</x:v>
      </x:c>
    </x:row>
    <x:row r="726" ht="56" customHeight="1">
      <x:c r="A726" s="8" t="str">
        <x:v>C00725</x:v>
      </x:c>
      <x:c r="B726" s="8" t="str">
        <x:v>SRC_0112</x:v>
      </x:c>
      <x:c r="C726" s="8" t="str">
        <x:v>mcK3c2YfvS.pdf</x:v>
      </x:c>
      <x:c r="D726" s="18" t="n">
        <x:v>19</x:v>
      </x:c>
      <x:c r="E726" s="8" t="str">
        <x:v>setback</x:v>
      </x:c>
      <x:c r="F726" s="8" t="str">
        <x:v>in width. (3) The Building Line is deemed immaterial in so far as all buildings contain a setback of 1.0m from the Boundary Wall.</x:v>
      </x:c>
      <x:c r="G726" s="8" t="str">
        <x:v>candidate_unreviewed</x:v>
      </x:c>
      <x:c r="H726" s="21" t="b">
        <x:v>0</x:v>
      </x:c>
      <x:c r="I726" s="8" t="str">
        <x:v>Keyword extraction only. Read page image and full context before promoting. English search cannot exclude Sinhala/Tamil or image-only content.</x:v>
      </x:c>
    </x:row>
    <x:row r="727" ht="224" customHeight="1">
      <x:c r="A727" s="11" t="str">
        <x:v>C00726</x:v>
      </x:c>
      <x:c r="B727" s="11" t="str">
        <x:v>SRC_0112</x:v>
      </x:c>
      <x:c r="C727" s="11" t="str">
        <x:v>mcK3c2YfvS.pdf</x:v>
      </x:c>
      <x:c r="D727" s="22" t="n">
        <x:v>20</x:v>
      </x:c>
      <x:c r="E727" s="11" t="str">
        <x:v>setbacks</x:v>
      </x:c>
      <x:c r="F727" s="11" t="str">
        <x:v>Schedule 6 in Form “F” shall be applicable 57. (1) The Relevant Authority may impose building setbacks as per the requirements of any other applicable Laws or regulations. (2) Any Building work which involves a wall construction on a boundary, such wall shall be a Blind Wall and prior to any construction of such wall, an application shall be submitted to the Relevant Authority for obtaining a Development Permit, along with - (a) a declaration from a Relevant Qualified Person as set out in the Schedule 3 to the effect that the construction shall not cause any damage to the adjoining properties; (b) If the Building comprises of more than 4 floors where an Insurance Policy to cover all damages which may occur to adjoining p</x:v>
      </x:c>
      <x:c r="G727" s="11" t="str">
        <x:v>candidate_unreviewed</x:v>
      </x:c>
      <x:c r="H727" s="24" t="b">
        <x:v>0</x:v>
      </x:c>
      <x:c r="I727" s="11" t="str">
        <x:v>Keyword extraction only. Read page image and full context before promoting. English search cannot exclude Sinhala/Tamil or image-only content.</x:v>
      </x:c>
    </x:row>
    <x:row r="728" ht="98" customHeight="1">
      <x:c r="A728" s="8" t="str">
        <x:v>C00727</x:v>
      </x:c>
      <x:c r="B728" s="8" t="str">
        <x:v>SRC_0112</x:v>
      </x:c>
      <x:c r="C728" s="8" t="str">
        <x:v>mcK3c2YfvS.pdf</x:v>
      </x:c>
      <x:c r="D728" s="18" t="n">
        <x:v>21</x:v>
      </x:c>
      <x:c r="E728" s="8" t="str">
        <x:v>light and ventilation</x:v>
      </x:c>
      <x:c r="F728" s="8" t="str">
        <x:v>6.0m in width, the rear space need not be provided. (3) Any construction that obstructs the light and ventilation of such rear space, mentioned in sub-regulation 61(1) and 61(2) shall be denied save and except the open well and an additional spiral stairway for the emergency exit.</x:v>
      </x:c>
      <x:c r="G728" s="8" t="str">
        <x:v>candidate_unreviewed</x:v>
      </x:c>
      <x:c r="H728" s="21" t="b">
        <x:v>0</x:v>
      </x:c>
      <x:c r="I728" s="8" t="str">
        <x:v>Keyword extraction only. Read page image and full context before promoting. English search cannot exclude Sinhala/Tamil or image-only content.</x:v>
      </x:c>
    </x:row>
    <x:row r="729" ht="210" customHeight="1">
      <x:c r="A729" s="11" t="str">
        <x:v>C00728</x:v>
      </x:c>
      <x:c r="B729" s="11" t="str">
        <x:v>SRC_0112</x:v>
      </x:c>
      <x:c r="C729" s="11" t="str">
        <x:v>mcK3c2YfvS.pdf</x:v>
      </x:c>
      <x:c r="D729" s="22" t="n">
        <x:v>22</x:v>
      </x:c>
      <x:c r="E729" s="11" t="str">
        <x:v>bathroom, habitable room</x:v>
      </x:c>
      <x:c r="F729" s="11" t="str">
        <x:v>ss than 3.0m, or (c) the road frontage of the land is less than 6.0m wide. 66. The area of any habitable room in a residential Building shall be as set out in the Schedule 7. 67. (1) The minimum height of rooms in residential buildings shall be – a. 2.8m average height and 2.4m at the lowest point for living rooms and bed Rooms; b. 2.8m average height and 2.4m at the lowest point for kitchen; and c. not less than 2.2m for bathrooms, lavatories, water closets, verandah, balconies, terraces and garages. || b. 2.8m average height and 2.4m at the lowest point for kitchen; and c. not less than 2.2m for bathrooms, lavatories, water closets, verandah, balconies, terraces and garages.</x:v>
      </x:c>
      <x:c r="G729" s="11" t="str">
        <x:v>candidate_unreviewed</x:v>
      </x:c>
      <x:c r="H729" s="24" t="b">
        <x:v>0</x:v>
      </x:c>
      <x:c r="I729" s="11" t="str">
        <x:v>Keyword extraction only. Read page image and full context before promoting. English search cannot exclude Sinhala/Tamil or image-only content.</x:v>
      </x:c>
    </x:row>
    <x:row r="730" ht="224" customHeight="1">
      <x:c r="A730" s="8" t="str">
        <x:v>C00729</x:v>
      </x:c>
      <x:c r="B730" s="8" t="str">
        <x:v>SRC_0112</x:v>
      </x:c>
      <x:c r="C730" s="8" t="str">
        <x:v>mcK3c2YfvS.pdf</x:v>
      </x:c>
      <x:c r="D730" s="18" t="n">
        <x:v>23</x:v>
      </x:c>
      <x:c r="E730" s="8" t="str">
        <x:v>habitable room</x:v>
      </x:c>
      <x:c r="F730" s="8" t="str">
        <x:v>be not less than 3.5m average and 2.8m minimum at the lowest point. (6) (a) The height of a habitable room in a resort shall be not less than 3.0m; (b) In a resort, the provision of the sub-regulation 67(7) shall apply to lavatories, water closet, cloak rooms, kitchens, corridors and rooms which are rarely used. (7) (a) Any building other than any of those specified in sub-regulations 67(1) to 67(6) of these regulations, the height of the room on the Ground Floor shall be not less than 2.8m and any part on upper floors shall be not less than 2.4m. (b) Save and except in a paragraph (a), any roof terrace used as open or covered garden, the height shall be not less than 2.6m (8) (a) A minimum of 1.0m distance shall be maintained</x:v>
      </x:c>
      <x:c r="G730" s="8" t="str">
        <x:v>candidate_unreviewed</x:v>
      </x:c>
      <x:c r="H730" s="21" t="b">
        <x:v>0</x:v>
      </x:c>
      <x:c r="I730" s="8" t="str">
        <x:v>Keyword extraction only. Read page image and full context before promoting. English search cannot exclude Sinhala/Tamil or image-only content.</x:v>
      </x:c>
    </x:row>
    <x:row r="731" ht="476" customHeight="1">
      <x:c r="A731" s="11" t="str">
        <x:v>C00730</x:v>
      </x:c>
      <x:c r="B731" s="11" t="str">
        <x:v>SRC_0112</x:v>
      </x:c>
      <x:c r="C731" s="11" t="str">
        <x:v>mcK3c2YfvS.pdf</x:v>
      </x:c>
      <x:c r="D731" s="22" t="n">
        <x:v>24</x:v>
      </x:c>
      <x:c r="E731" s="11" t="str">
        <x:v>minimum width, schedule 8, schedule 9</x:v>
      </x:c>
      <x:c r="F731" s="11" t="str">
        <x:v>ms; (b) stairways and landings; (c) screens; or (d) signboards or advertisement 68. (1) The minimum width of the stairs and the minimum dimensions of treads and risers shall conform with the specifications set out in the Schedule 8. (2) (a) Where a Building is not a Public Building, the minimum height of a hand rail or Guard Wall shall be not less than 1.0m. (b) Where a Building is a Public Building, the minimum height of a hand rail or Guard Wall shall be not less than 1.1m. 69. The lifts of required standards shall be installed at the main entrance and other suitable locations in the buildings exceeding four floors or more than 15.0m in height as set out in Schedule 9. A letter from a suitable qualified person s || d the minimum dimensions of treads and risers shall conform with the specifications set out in the Schedule 8. (2) (a) Where a Building is not a Public Building, the minimum height of a hand rail or Guard Wall shall be not less than 1.0m. (b) Where a Building is a Public Building, the minimum height of a hand rail or Guard Wall shall be not less than 1.1m. 69. The lifts of required standards shall be installed at the main entrance and other suitable locations in the buildings exceeding four floors or more than 15.0m in height as set out in Schedule 9. A letter from a suitable qualified person shall be submitted affirming the installation of the same. || table locations in the buildings exceeding four floors or more than 15.0m in height as set out in Schedule 9. A letter from a suitable qualified person shall be submitted affirming the installation of the same.</x:v>
      </x:c>
      <x:c r="G731" s="11" t="str">
        <x:v>candidate_unreviewed</x:v>
      </x:c>
      <x:c r="H731" s="24" t="b">
        <x:v>0</x:v>
      </x:c>
      <x:c r="I731" s="11" t="str">
        <x:v>Keyword extraction only. Read page image and full context before promoting. English search cannot exclude Sinhala/Tamil or image-only content.</x:v>
      </x:c>
    </x:row>
    <x:row r="732" ht="84" customHeight="1">
      <x:c r="A732" s="8" t="str">
        <x:v>C00731</x:v>
      </x:c>
      <x:c r="B732" s="8" t="str">
        <x:v>SRC_0112</x:v>
      </x:c>
      <x:c r="C732" s="8" t="str">
        <x:v>mcK3c2YfvS.pdf</x:v>
      </x:c>
      <x:c r="D732" s="18" t="n">
        <x:v>25</x:v>
      </x:c>
      <x:c r="E732" s="8" t="str">
        <x:v>light and ventilation</x:v>
      </x:c>
      <x:c r="F732" s="8" t="str">
        <x:v>vice in the roof of the room or other natural ventilation. (6) (a) Where the sources of natural light and ventilation is from the Balcony, verandah or porch the depth of the Room served by such sources shall not exceed 10.0m</x:v>
      </x:c>
      <x:c r="G732" s="8" t="str">
        <x:v>candidate_unreviewed</x:v>
      </x:c>
      <x:c r="H732" s="21" t="b">
        <x:v>0</x:v>
      </x:c>
      <x:c r="I732" s="8" t="str">
        <x:v>Keyword extraction only. Read page image and full context before promoting. English search cannot exclude Sinhala/Tamil or image-only content.</x:v>
      </x:c>
    </x:row>
    <x:row r="733" ht="644" customHeight="1">
      <x:c r="A733" s="11" t="str">
        <x:v>C00732</x:v>
      </x:c>
      <x:c r="B733" s="11" t="str">
        <x:v>SRC_0112</x:v>
      </x:c>
      <x:c r="C733" s="11" t="str">
        <x:v>mcK3c2YfvS.pdf</x:v>
      </x:c>
      <x:c r="D733" s="22" t="n">
        <x:v>26</x:v>
      </x:c>
      <x:c r="E733" s="11" t="str">
        <x:v>bathroom, light and ventilation, staircase</x:v>
      </x:c>
      <x:c r="F733" s="11" t="str">
        <x:v>f such Balcony, verandah or porch 71. (1) An air-well or a courtyard meant for obtaining natural light and ventilation shall comply with the requirement as set out in Schedule 10. (2) An Air well for natural light and ventilation of toilets, store Rooms, garage, washing areas shall be as set out in Schedule 10 (3) The internal Air well or courtyards provided for the purpose of natural lightning and ventilation shall not be obstructed. (4) Where the shortest side of the Air well is less than 5.0m, overhangs, canopies, sun shading devices, eaves or balconies projected over such Air well shall not exceed 0.5m. (5) The floor of an internal courtyard shall either be paved or turfed and maintained as an internal garden w || shall comply with the requirement as set out in Schedule 10. (2) An Air well for natural light and ventilation of toilets, store Rooms, garage, washing areas shall be as set out in Schedule 10 (3) The internal Air well or courtyards provided for the purpose of natural lightning and ventilation shall not be obstructed. (4) Where the shortest side of the Air well is less than 5.0m, overhangs, canopies, sun shading devices, eaves or balconies projected over such Air well shall not exceed 0.5m. (5) The floor of an internal courtyard shall either be paved or turfed and maintained as an internal garden with a proper drainage system. (6) The distance between the means of natural light and ventilation in a room of a bui || n internal garden with a proper drainage system. (6) The distance between the means of natural light and ventilation in a room of a building with Ground Floor and upper floor, and the opposite boundary of the open space, shall be not less than 2.3m. (7) The minimum distance between the means of natural light and ventilation for water- closets, toilets or bathrooms and the opposite boundary of the open space shall be 1.0m. Provide that, where twenty-four hours (24) exhaust fans are in operation in rooms, the distance between the External Walls of which the exhaust fans are installed and the opposite boundary of the open space shall be not less than 2.3m. (8) Unless otherwise specified in the Code of Fire safety, the minimum dimensions</x:v>
      </x:c>
      <x:c r="G733" s="11" t="str">
        <x:v>candidate_unreviewed</x:v>
      </x:c>
      <x:c r="H733" s="24" t="b">
        <x:v>0</x:v>
      </x:c>
      <x:c r="I733" s="11" t="str">
        <x:v>Keyword extraction only. Read page image and full context before promoting. English search cannot exclude Sinhala/Tamil or image-only content.</x:v>
      </x:c>
    </x:row>
    <x:row r="734" ht="644" customHeight="1">
      <x:c r="A734" s="8" t="str">
        <x:v>C00733</x:v>
      </x:c>
      <x:c r="B734" s="8" t="str">
        <x:v>SRC_0112</x:v>
      </x:c>
      <x:c r="C734" s="8" t="str">
        <x:v>mcK3c2YfvS.pdf</x:v>
      </x:c>
      <x:c r="D734" s="18" t="n">
        <x:v>27</x:v>
      </x:c>
      <x:c r="E734" s="8" t="str">
        <x:v>light and ventilation, staircase</x:v>
      </x:c>
      <x:c r="F734" s="8" t="str">
        <x:v>(10) For the purpose of determining light and ventilation requirements, any room may be considered as a portion of an adjoining room where half of the common wall is opened/exposed and unobstructed. (11) Where any room is located in a Basement and has the capacity to attract natural light and ventilation, such room shall have at least 1/3 (one third) of the height of its External Walls above the ground level and requirement of regulation 70 (2) shall be fulfilled. MECHANICAL VENTILATION AND AIR CONDITIONING 72. (1) Where Air-Conditioning, Mechanical Ventilation or artificial lighting is installed or intended to be installed in a Building: - (a) such installations shall be in a || cted. (11) Where any room is located in a Basement and has the capacity to attract natural light and ventilation, such room shall have at least 1/3 (one third) of the height of its External Walls above the ground level and requirement of regulation 70 (2) shall be fulfilled. MECHANICAL VENTILATION AND AIR CONDITIONING 72. (1) Where Air-Conditioning, Mechanical Ventilation or artificial lighting is installed or intended to be installed in a Building: - (a) such installations shall be in accordance with the relevant provisions of these regulations considering the particular type of use of the building or part thereof; (b) where the Air Conditioning unit, Mechanical Ventilation system or artificial lighting is not used in a building, an || proval shall be obtained by fulfilling the requirements of these regulations for obtaining natural light and ventilation. (2) Where fresh air is obtained by mechanical means by supplying a minimum of 3 air changes per hour in a room for residential purposes, the area of openings of the natural ventilation source may be reduced to half of that specified in regulation 70 (2), but shall be not less than 0.5m2. (3) Except as set out in regulation 70, Mechanical Ventilation shall be provided in every room of non-residential purpose, staircase, corridor or lobby where the relevant requirements for natural ventilation under these regulations are not fulfilled. (4) (a) Where Air Conditioning, Mechanical Ventilation or artificial lighting is installed</x:v>
      </x:c>
      <x:c r="G734" s="8" t="str">
        <x:v>candidate_unreviewed</x:v>
      </x:c>
      <x:c r="H734" s="21" t="b">
        <x:v>0</x:v>
      </x:c>
      <x:c r="I734" s="8" t="str">
        <x:v>Keyword extraction only. Read page image and full context before promoting. English search cannot exclude Sinhala/Tamil or image-only content.</x:v>
      </x:c>
    </x:row>
    <x:row r="735" ht="224" customHeight="1">
      <x:c r="A735" s="11" t="str">
        <x:v>C00734</x:v>
      </x:c>
      <x:c r="B735" s="11" t="str">
        <x:v>SRC_0112</x:v>
      </x:c>
      <x:c r="C735" s="11" t="str">
        <x:v>mcK3c2YfvS.pdf</x:v>
      </x:c>
      <x:c r="D735" s="22" t="n">
        <x:v>47</x:v>
      </x:c>
      <x:c r="E735" s="11" t="str">
        <x:v>setbacks</x:v>
      </x:c>
      <x:c r="F735" s="11" t="str">
        <x:v>(1) Every Development Activity carried out within DGP area, shall be in compliance with building setbacks, reservations, land use, environmental improvements, infrastructure services, roads and traffic flow, location of open spaces, heights of buildings, intensity of developments, conservation, redevelopments, building construction and its facades, advertisements, preservation of trees, safety and security measures specified in the relevant development plan. (2) Until the preparation of the DGP, the Authority may direct the owner, Developer or the Relevant Qualified Person to cause relevant modifications in such development proposal, so as to be consistent with the contemplated development in the area, as may be proposed in such DGP.</x:v>
      </x:c>
      <x:c r="G735" s="11" t="str">
        <x:v>candidate_unreviewed</x:v>
      </x:c>
      <x:c r="H735" s="24" t="b">
        <x:v>0</x:v>
      </x:c>
      <x:c r="I735" s="11" t="str">
        <x:v>Keyword extraction only. Read page image and full context before promoting. English search cannot exclude Sinhala/Tamil or image-only content.</x:v>
      </x:c>
    </x:row>
    <x:row r="736" ht="434" customHeight="1">
      <x:c r="A736" s="8" t="str">
        <x:v>C00735</x:v>
      </x:c>
      <x:c r="B736" s="8" t="str">
        <x:v>SRC_0112</x:v>
      </x:c>
      <x:c r="C736" s="8" t="str">
        <x:v>mcK3c2YfvS.pdf</x:v>
      </x:c>
      <x:c r="D736" s="18" t="n">
        <x:v>48</x:v>
      </x:c>
      <x:c r="E736" s="8" t="str">
        <x:v>light and ventilation, staircase</x:v>
      </x:c>
      <x:c r="F736" s="8" t="str">
        <x:v>for access roads. (8) No advertisement panel shall obstruct any door, window, emergency door, staircase or any other means of obtaining light and ventilation. (9) No advertisement, hoarding or billboard etc. shall be erected in front of a commercial building or a Public Building, in a manner that would cover more than 50% of the frontage of such building. (10) No advertisement, billboard or hoarding etc. shall be erected or displayed with the support of trees, telephone or electricity posts, rocks, bridges, parapet walls, walls, vehicles or road sign board. (11) Every advertisement, billboard or hoarding shall be maintained in a pleasant and protective manner. (12) The display of advertisements or notices may be permitted f || t panel shall obstruct any door, window, emergency door, staircase or any other means of obtaining light and ventilation. (9) No advertisement, hoarding or billboard etc. shall be erected in front of a commercial building or a Public Building, in a manner that would cover more than 50% of the frontage of such building. (10) No advertisement, billboard or hoarding etc. shall be erected or displayed with the support of trees, telephone or electricity posts, rocks, bridges, parapet walls, walls, vehicles or road sign board. (11) Every advertisement, billboard or hoarding shall be maintained in a pleasant and protective manner. (12) The display of advertisements or notices may be permitted for a limited period of time for special commercial eve</x:v>
      </x:c>
      <x:c r="G736" s="8" t="str">
        <x:v>candidate_unreviewed</x:v>
      </x:c>
      <x:c r="H736" s="21" t="b">
        <x:v>0</x:v>
      </x:c>
      <x:c r="I736" s="8" t="str">
        <x:v>Keyword extraction only. Read page image and full context before promoting. English search cannot exclude Sinhala/Tamil or image-only content.</x:v>
      </x:c>
    </x:row>
    <x:row r="737" ht="84" customHeight="1">
      <x:c r="A737" s="11" t="str">
        <x:v>C00736</x:v>
      </x:c>
      <x:c r="B737" s="11" t="str">
        <x:v>SRC_0112</x:v>
      </x:c>
      <x:c r="C737" s="11" t="str">
        <x:v>mcK3c2YfvS.pdf</x:v>
      </x:c>
      <x:c r="D737" s="22" t="n">
        <x:v>54</x:v>
      </x:c>
      <x:c r="E737" s="11" t="str">
        <x:v>plot coverage</x:v>
      </x:c>
      <x:c r="F737" s="11" t="str">
        <x:v>ttee appointed by virtue of section 8(b) of act no 4 of 1982 of Urban Development Authority Law; “Plot Coverage” means the percentage of total plinth area of a building in relation to the total land area in the plot where building situated</x:v>
      </x:c>
      <x:c r="G737" s="11" t="str">
        <x:v>candidate_unreviewed</x:v>
      </x:c>
      <x:c r="H737" s="24" t="b">
        <x:v>0</x:v>
      </x:c>
      <x:c r="I737" s="11" t="str">
        <x:v>Keyword extraction only. Read page image and full context before promoting. English search cannot exclude Sinhala/Tamil or image-only content.</x:v>
      </x:c>
    </x:row>
    <x:row r="738" ht="406" customHeight="1">
      <x:c r="A738" s="8" t="str">
        <x:v>C00737</x:v>
      </x:c>
      <x:c r="B738" s="8" t="str">
        <x:v>SRC_0112</x:v>
      </x:c>
      <x:c r="C738" s="8" t="str">
        <x:v>mcK3c2YfvS.pdf</x:v>
      </x:c>
      <x:c r="D738" s="18" t="n">
        <x:v>55</x:v>
      </x:c>
      <x:c r="E738" s="8" t="str">
        <x:v>bathroom, bedroom</x:v>
      </x:c>
      <x:c r="F738" s="8" t="str">
        <x:v>gious ceremony are performed. “Residential Unit” means a dwelling unit consisting of a, kitchen, bedroom, bathroom or toilet used or proposed to be used for a single family. “Retaining Wall” means a protective wall constructed to stabilize the slope or prevent deformation of the soil layer in a steep slope. “Room” means a portion of a building enclosed by walls or partitions. “Sewerage” means any sewer or liquid waste and includes water-borne sullage and trade effluent; “Street Line” means a line or lines defined on one or both sides of any existing street, to show its future width or to show the width of a future street as sanctioned by the Relevant Authority or Relevant Institution || emony are performed. “Residential Unit” means a dwelling unit consisting of a, kitchen, bedroom, bathroom or toilet used or proposed to be used for a single family. “Retaining Wall” means a protective wall constructed to stabilize the slope or prevent deformation of the soil layer in a steep slope. “Room” means a portion of a building enclosed by walls or partitions. “Sewerage” means any sewer or liquid waste and includes water-borne sullage and trade effluent; “Street Line” means a line or lines defined on one or both sides of any existing street, to show its future width or to show the width of a future street as sanctioned by the Relevant Authority or Relevant Institution</x:v>
      </x:c>
      <x:c r="G738" s="8" t="str">
        <x:v>candidate_unreviewed</x:v>
      </x:c>
      <x:c r="H738" s="21" t="b">
        <x:v>0</x:v>
      </x:c>
      <x:c r="I738" s="8" t="str">
        <x:v>Keyword extraction only. Read page image and full context before promoting. English search cannot exclude Sinhala/Tamil or image-only content.</x:v>
      </x:c>
    </x:row>
    <x:row r="739" ht="224" customHeight="1">
      <x:c r="A739" s="11" t="str">
        <x:v>C00738</x:v>
      </x:c>
      <x:c r="B739" s="11" t="str">
        <x:v>SRC_0112</x:v>
      </x:c>
      <x:c r="C739" s="11" t="str">
        <x:v>mcK3c2YfvS.pdf</x:v>
      </x:c>
      <x:c r="D739" s="22" t="n">
        <x:v>56</x:v>
      </x:c>
      <x:c r="E739" s="11" t="str">
        <x:v>staircase</x:v>
      </x:c>
      <x:c r="F739" s="11" t="str">
        <x:v>Building” means includes the roof, column or main post, beam, foundation, wall suspended floor, or staircase of a building but not include a door, window or internal partition thereof; “Temporary Building” means a building which is permitted by the relevant authority to remain for a specified period, at the expiration of which the building shall be demolished. “Terrace House” means a residential building designed as single dwelling unit and forming part of a row or terrace, “Town Planner” means a corporate member of Institute of Town Planners Sri Lanka established by the Institute of Town Planners Sri Lanka (incorporation) Act No. 23 of 1986 “Valuer” means a corporate member of Institute of Valuers which is incorporated under the</x:v>
      </x:c>
      <x:c r="G739" s="11" t="str">
        <x:v>candidate_unreviewed</x:v>
      </x:c>
      <x:c r="H739" s="24" t="b">
        <x:v>0</x:v>
      </x:c>
      <x:c r="I739" s="11" t="str">
        <x:v>Keyword extraction only. Read page image and full context before promoting. English search cannot exclude Sinhala/Tamil or image-only content.</x:v>
      </x:c>
    </x:row>
    <x:row r="740" ht="224" customHeight="1">
      <x:c r="A740" s="8" t="str">
        <x:v>C00739</x:v>
      </x:c>
      <x:c r="B740" s="8" t="str">
        <x:v>SRC_0112</x:v>
      </x:c>
      <x:c r="C740" s="8" t="str">
        <x:v>mcK3c2YfvS.pdf</x:v>
      </x:c>
      <x:c r="D740" s="18" t="n">
        <x:v>59</x:v>
      </x:c>
      <x:c r="E740" s="8" t="str">
        <x:v>plot coverage</x:v>
      </x:c>
      <x:c r="F740" s="8" t="str">
        <x:v>5.9 Proposed Floor Area Ratio (FAR) / (Gross Floor Area of all buildings/Site Area) 5.10 Proposed Plot Coverage (Floor Area at Ground Level/Site Area) x 100 5.11 Upload a tentative Cost Estimate of the project certified by a qualified person (If applicable) 6.0 Infrastructure availability 6.1 Describe the water availability to the site 6.2 Describe the Solid Waste Disposal arrangements 6.3 Describe the availability of Sewer/Wastewater Disposal facility 6.4 Is the proposed site can be served through National Electricity Grid? 6.5 No. of car parking bays provided 6.6 Other parking arrangements (specify) 7.0 Details of Proposed Development for Sub division/ Amalgamation /Resurveying 7.1 Total extent of the land (Perch) 7.2 Upload the S</x:v>
      </x:c>
      <x:c r="G740" s="8" t="str">
        <x:v>candidate_unreviewed</x:v>
      </x:c>
      <x:c r="H740" s="21" t="b">
        <x:v>0</x:v>
      </x:c>
      <x:c r="I740" s="8" t="str">
        <x:v>Keyword extraction only. Read page image and full context before promoting. English search cannot exclude Sinhala/Tamil or image-only content.</x:v>
      </x:c>
    </x:row>
    <x:row r="741" ht="98" customHeight="1">
      <x:c r="A741" s="11" t="str">
        <x:v>C00740</x:v>
      </x:c>
      <x:c r="B741" s="11" t="str">
        <x:v>SRC_0112</x:v>
      </x:c>
      <x:c r="C741" s="11" t="str">
        <x:v>mcK3c2YfvS.pdf</x:v>
      </x:c>
      <x:c r="D741" s="22" t="n">
        <x:v>65</x:v>
      </x:c>
      <x:c r="E741" s="11" t="str">
        <x:v>light and ventilation</x:v>
      </x:c>
      <x:c r="F741" s="11" t="str">
        <x:v>1 Open space Yes/No 4.2 Rear space Yes/No 4.3 Side space Yes/No 4.4 Front space Yes/No 4.5 Light and ventilation Yes/No 4.6 Parking area Yes/No 4.7 Sanitary facilities 4.8 Other (specify) 5.0 Details of Access Road/s 5.1 Ownership of the abutting street/s  R.D.A</x:v>
      </x:c>
      <x:c r="G741" s="11" t="str">
        <x:v>candidate_unreviewed</x:v>
      </x:c>
      <x:c r="H741" s="24" t="b">
        <x:v>0</x:v>
      </x:c>
      <x:c r="I741" s="11" t="str">
        <x:v>Keyword extraction only. Read page image and full context before promoting. English search cannot exclude Sinhala/Tamil or image-only content.</x:v>
      </x:c>
    </x:row>
    <x:row r="742" ht="196" customHeight="1">
      <x:c r="A742" s="8" t="str">
        <x:v>C00741</x:v>
      </x:c>
      <x:c r="B742" s="8" t="str">
        <x:v>SRC_0112</x:v>
      </x:c>
      <x:c r="C742" s="8" t="str">
        <x:v>mcK3c2YfvS.pdf</x:v>
      </x:c>
      <x:c r="D742" s="18" t="n">
        <x:v>79</x:v>
      </x:c>
      <x:c r="E742" s="8" t="str">
        <x:v>plot coverage</x:v>
      </x:c>
      <x:c r="F742" s="8" t="str">
        <x:v>al floor area of each floors Details of floor area, if total number of floors less than G+4 6.4 Plot Coverage (area covered by the building / site area (excluding area within Street Line x 100) 6.5 Floor Area Ratio (Gross floor area on all floors (excluding area reserved for parking) / site area (excluding area within Street Line) 6.6 If the proposed site to be reclaimed or raised, please UPLOAD the proposal indicates the existing Buildings, roads and drainage plan. 6.7 Upload a schedule of floor area by use as at each floors. 6.8 Upload the plans of proposed development 6.9 Value of Investment for the proposed development</x:v>
      </x:c>
      <x:c r="G742" s="8" t="str">
        <x:v>candidate_unreviewed</x:v>
      </x:c>
      <x:c r="H742" s="21" t="b">
        <x:v>0</x:v>
      </x:c>
      <x:c r="I742" s="8" t="str">
        <x:v>Keyword extraction only. Read page image and full context before promoting. English search cannot exclude Sinhala/Tamil or image-only content.</x:v>
      </x:c>
    </x:row>
    <x:row r="743" ht="182" customHeight="1">
      <x:c r="A743" s="11" t="str">
        <x:v>C00742</x:v>
      </x:c>
      <x:c r="B743" s="11" t="str">
        <x:v>SRC_0112</x:v>
      </x:c>
      <x:c r="C743" s="11" t="str">
        <x:v>mcK3c2YfvS.pdf</x:v>
      </x:c>
      <x:c r="D743" s="22" t="n">
        <x:v>90</x:v>
      </x:c>
      <x:c r="E743" s="11" t="str">
        <x:v>plot coverage</x:v>
      </x:c>
      <x:c r="F743" s="11" t="str">
        <x:v>d marks) 2.6 Number of Floors in proposed building 2.6 Total Floor Area of the building (m2) 2.8 Plot Coverage 2.9 Number of Floors 3.0 Requested Green Certificate Level 3.1 Certificate Level Yes 3.2 Silver level Yes 3.3 Gold Level Yes 3.4 Platinum Level Yes 4.0 Payment Gate 4.1 Paid amount 4.2 Paid type 4.3 Upload the payment slip Please verify all the information provided before proceed with submission 4.4 I hereby certify that all the information furnished by me in this application are true and accurate to the best of my knowledge 4.5 Submit</x:v>
      </x:c>
      <x:c r="G743" s="11" t="str">
        <x:v>candidate_unreviewed</x:v>
      </x:c>
      <x:c r="H743" s="24" t="b">
        <x:v>0</x:v>
      </x:c>
      <x:c r="I743" s="11" t="str">
        <x:v>Keyword extraction only. Read page image and full context before promoting. English search cannot exclude Sinhala/Tamil or image-only content.</x:v>
      </x:c>
    </x:row>
    <x:row r="744" ht="196" customHeight="1">
      <x:c r="A744" s="8" t="str">
        <x:v>C00743</x:v>
      </x:c>
      <x:c r="B744" s="8" t="str">
        <x:v>SRC_0112</x:v>
      </x:c>
      <x:c r="C744" s="8" t="str">
        <x:v>mcK3c2YfvS.pdf</x:v>
      </x:c>
      <x:c r="D744" s="18" t="n">
        <x:v>120</x:v>
      </x:c>
      <x:c r="E744" s="8" t="str">
        <x:v>minimum width</x:v>
      </x:c>
      <x:c r="F744" s="8" t="str">
        <x:v>Schedule 4 [Regulations 18,19,20] Accessibility to Lands for Residential Use Minimum Width of Access Road/ Street (meters) Maximum Length of Access Road/Street (meters) Maximum Number of Lots Served Maximum Dwelling Units per lot 3.0 up to 50 meters 4 2 *At a distance of 100m or less, but both ends connected to public roads where width is 7m. or more 8 2 4.5 up to 100 8 2 *At a distance of 200m or less, but both ends connected to public roads where width is 7m. or more 16 2 7.0 - 20 Permissible Floor Area applies 9.0 or more - unlimited Permissible Floor Area applies Note: *This relaxation does not apply to internal land subdivisions.</x:v>
      </x:c>
      <x:c r="G744" s="8" t="str">
        <x:v>candidate_unreviewed</x:v>
      </x:c>
      <x:c r="H744" s="21" t="b">
        <x:v>0</x:v>
      </x:c>
      <x:c r="I744" s="8" t="str">
        <x:v>Keyword extraction only. Read page image and full context before promoting. English search cannot exclude Sinhala/Tamil or image-only content.</x:v>
      </x:c>
    </x:row>
    <x:row r="745" ht="644" customHeight="1">
      <x:c r="A745" s="11" t="str">
        <x:v>C00744</x:v>
      </x:c>
      <x:c r="B745" s="11" t="str">
        <x:v>SRC_0112</x:v>
      </x:c>
      <x:c r="C745" s="11" t="str">
        <x:v>mcK3c2YfvS.pdf</x:v>
      </x:c>
      <x:c r="D745" s="22" t="n">
        <x:v>125</x:v>
      </x:c>
      <x:c r="E745" s="11" t="str">
        <x:v>plot coverage, setbacks</x:v>
      </x:c>
      <x:c r="F745" s="11" t="str">
        <x:v>m both side 6m 36 Sq.m 60 and above Above 40m ***50% ***50% 5m 6m 5m both side 6m **** Form C - Setbacks Building Height (m) Minimum Site Frontage (m) * Plot Coverage Rear Space (m) Side Space (m) Without Natural Ventilation With Natural Ventilation Without Natural Ventilation With Natural Ventilation Building Height - Height between access road level to roof top level * Where no Plot Coverage specified under the zoning regulations ** Purely non residential activities *** 65% plot coverage can be allowed only for the podium level not exceeding 20% of the tower height or 12 floors which ever is less **** Minimum area shall be increased by 1 Sq.m for every additional 3m height Form B - Number of Floors for 3m &amp; 4.5m wide Roads Mi || *50% 5m 6m 5m both side 6m **** Form C - Setbacks Building Height (m) Minimum Site Frontage (m) * Plot Coverage Rear Space (m) Side Space (m) Without Natural Ventilation With Natural Ventilation Without Natural Ventilation With Natural Ventilation Building Height - Height between access road level to roof top level * Where no Plot Coverage specified under the zoning regulations ** Purely non residential activities *** 65% plot coverage can be allowed only for the podium level not exceeding 20% of the tower height or 12 floors which ever is less **** Minimum area shall be increased by 1 Sq.m for every additional 3m height Form B - Number of Floors for 3m &amp; 4.5m wide Roads Minimum Road Width Minimum Site Frontage * Plot Coverage M || tural Ventilation Building Height - Height between access road level to roof top level * Where no Plot Coverage specified under the zoning regulations ** Purely non residential activities *** 65% plot coverage can be allowed only for the podium level not exceeding 20% of the tower height or 12 floors which ever is less **** Minimum area shall be increased by 1 Sq.m for every additional 3m height Form B - Number of Floors for 3m &amp; 4.5m wide Roads Minimum Road Width Minimum Site Frontage * Plot Coverage Maximum Number of Floors Zone Factor 0.5 - 0.74 Zone Factor 0.75 - 1.24 Zone Factor 1.25 - 3.49 Zone Factor 3.50 - 4.00 3m 6m 65% 1 (G) 2 (G+1) 3 (G+2) 3 (G+2) 4.5m 6m 65% 1 (G) 2 (G+1) 3 (G+2) 4 (G+3) Number</x:v>
      </x:c>
      <x:c r="G745" s="11" t="str">
        <x:v>candidate_unreviewed</x:v>
      </x:c>
      <x:c r="H745" s="24" t="b">
        <x:v>0</x:v>
      </x:c>
      <x:c r="I745" s="11" t="str">
        <x:v>Keyword extraction only. Read page image and full context before promoting. English search cannot exclude Sinhala/Tamil or image-only content.</x:v>
      </x:c>
    </x:row>
    <x:row r="746" ht="168" customHeight="1">
      <x:c r="A746" s="8" t="str">
        <x:v>C00745</x:v>
      </x:c>
      <x:c r="B746" s="8" t="str">
        <x:v>SRC_0112</x:v>
      </x:c>
      <x:c r="C746" s="8" t="str">
        <x:v>mcK3c2YfvS.pdf</x:v>
      </x:c>
      <x:c r="D746" s="18" t="n">
        <x:v>126</x:v>
      </x:c>
      <x:c r="E746" s="8" t="str">
        <x:v>plot coverage</x:v>
      </x:c>
      <x:c r="F746" s="8" t="str">
        <x:v>tial Zone Mixed Zone 3m 6m 65% 1 (G) 2 (G+1) 3 (G+2) 4.5m 6m 65% 1 (G) 2 (G+1) 3 (G+2) * Where no plot coverage specified under the zoning regulations Number of floors are indicated including parking areas **Controlled zone means balance developable lands excluding above Residential zone, Mixed zone and environment conserve areas Form E - Number of Floors for 3m &amp; 4.5m wide Roads (General Regulation) Minimum Road Width * Plot Coverage Maximum Number of Floors Number of units allowed for each road shall not be changed Minimum Site Frontage</x:v>
      </x:c>
      <x:c r="G746" s="8" t="str">
        <x:v>candidate_unreviewed</x:v>
      </x:c>
      <x:c r="H746" s="21" t="b">
        <x:v>0</x:v>
      </x:c>
      <x:c r="I746" s="8" t="str">
        <x:v>Keyword extraction only. Read page image and full context before promoting. English search cannot exclude Sinhala/Tamil or image-only content.</x:v>
      </x:c>
    </x:row>
    <x:row r="747" ht="574" customHeight="1">
      <x:c r="A747" s="11" t="str">
        <x:v>C00746</x:v>
      </x:c>
      <x:c r="B747" s="11" t="str">
        <x:v>SRC_0112</x:v>
      </x:c>
      <x:c r="C747" s="11" t="str">
        <x:v>mcK3c2YfvS.pdf</x:v>
      </x:c>
      <x:c r="D747" s="22" t="n">
        <x:v>127</x:v>
      </x:c>
      <x:c r="E747" s="11" t="str">
        <x:v>bathroom, habitable room, minimum floor area, plot coverage, schedule 7, setbacks</x:v>
      </x:c>
      <x:c r="F747" s="11" t="str">
        <x:v>Form “F” Schedule 7 [Regulation 66] Minimum Requirements for Habitable Rooms and Utility Area Room Minimum Floor Area (m2) Minimum width (m) (a) Where there is only one room in a dwelling unit 11.0 3.0 (b) Where there are more than 1 room in a dwelling unit i. First Room 9.5 2.5 ii. Additional Room 8.5 2.5 (c) Rooms in non-residential buildings 7.5 2.4 (d) Kitchen 5.5 1.8 (e) Bathroom 1.7 1.0 (f) Toilet 1.7 1.0 (g) Combined Bath and Toilet 2.0 1.5 Non Residential Residential Minimum width Minimum Area (For light well only) less than 7 6 **80% 65% 2.3m 2.3m - 2.3m 5 Sq.m 7 less than 15 6 65% 65% 3m 3 || Form “F” Schedule 7 [Regulation 66] Minimum Requirements for Habitable Rooms and Utility Area Room Minimum Floor Area (m2) Minimum width (m) (a) Where there is only one room in a dwelling unit 11.0 3.0 (b) Where there are more than 1 room in a dwelling unit i. First Room 9.5 2.5 ii. Additional Room 8.5 2.5 (c) Rooms in non-residential buildings 7.5 2.4 (d) Kitchen 5.5 1.8 (e) Bathroom 1.7 1.0 (f) Toilet 1.7 1.0 (g) Combined Bath and Toilet 2.0 1.5 Non Residential Residential Minimum width Minimum Area (For light well only) less than 7 6 **80% 65% 2.3m 2.3m - 2.3m 5 Sq.m 7 less than 15 6 65% 65% 3m 3m - 3m 9 Sq.m 15 less than 25 10 65% 65% 4m 4m 1m and 3m 4m || Schedule 7 [Regulation 66] Minimum Requirements for Habitable Rooms and Utility Area Room Minimum Floor Area (m2) Minimum width (m) (a) Where there is only one room in a dwelling unit 11.0 3.0 (b) Where there are more than 1 room in a dwelling unit i. First Room 9.5 2.5 ii. Additional Room 8.5 2.5 (c) Rooms in non-residential buildings 7.5 2.4 (d) Kitchen 5.5 1.8 (e) Bathroom 1.7 1.0 (f) Toilet 1.7 1.0 (g) Combined Bath and Toilet 2.0 1.5 Non Residential Residential Minimum width Minimum Area (For light well only) less than 7 6 **80% 65% 2.3m 2.3m - 2.3m 5 Sq.m 7 less than 15 6 65% 65% 3m 3m - 3m 9 Sq.m 15 less than 25 10 65% 65% 4m 4m 1m and 3m 4m 16 Sq.m 25 less than 40 20 65% 65% 4m 5m 3m bo</x:v>
      </x:c>
      <x:c r="G747" s="11" t="str">
        <x:v>candidate_unreviewed</x:v>
      </x:c>
      <x:c r="H747" s="24" t="b">
        <x:v>0</x:v>
      </x:c>
      <x:c r="I747" s="11" t="str">
        <x:v>Keyword extraction only. Read page image and full context before promoting. English search cannot exclude Sinhala/Tamil or image-only content.</x:v>
      </x:c>
    </x:row>
    <x:row r="748" ht="462" customHeight="1">
      <x:c r="A748" s="8" t="str">
        <x:v>C00747</x:v>
      </x:c>
      <x:c r="B748" s="8" t="str">
        <x:v>SRC_0112</x:v>
      </x:c>
      <x:c r="C748" s="8" t="str">
        <x:v>mcK3c2YfvS.pdf</x:v>
      </x:c>
      <x:c r="D748" s="18" t="n">
        <x:v>128</x:v>
      </x:c>
      <x:c r="E748" s="8" t="str">
        <x:v>schedule 8, schedule 9, stair case</x:v>
      </x:c>
      <x:c r="F748" s="8" t="str">
        <x:v>Schedule 8 [Regulation 68] Minimum Requirements for Stair Cases Category Minimum Width of Stairs (mm) Minimum Height Clearance (meters) Maximum Riser (mm) Minimum Tread (mm) 1. Internal stairs serving only one upper floor. 750 2.1 175 250 2. Stairs in buildings, used as place of Public Building and Condominium Buildings and all other categories. 1000 2.1 150 275 Schedule 9 {Regulation 69} Specification for Lift Usage Extent of the Building (m2 ) Capacity (For each category) Office 9000 One for 20 persons Hotel 7500 Housing Complex 9000 *Hospital 1000 *Hospitals shall be pr || Schedule 8 [Regulation 68] Minimum Requirements for Stair Cases Category Minimum Width of Stairs (mm) Minimum Height Clearance (meters) Maximum Riser (mm) Minimum Tread (mm) 1. Internal stairs serving only one upper floor. 750 2.1 175 250 2. Stairs in buildings, used as place of Public Building and Condominium Buildings and all other categories. 1000 2.1 150 275 Schedule 9 {Regulation 69} Specification for Lift Usage Extent of the Building (m2 ) Capacity (For each category) Office 9000 One for 20 persons Hotel 7500 Housing Complex 9000 *Hospital 1000 *Hospitals shall be provided 8’*8’sized lift in the main entrance and the ot || Public Building and Condominium Buildings and all other categories. 1000 2.1 150 275 Schedule 9 {Regulation 69} Specification for Lift Usage Extent of the Building (m2 ) Capacity (For each category) Office 9000 One for 20 persons Hotel 7500 Housing Complex 9000 *Hospital 1000 *Hospitals shall be provided 8’*8’sized lift in the main entrance and the other places.</x:v>
      </x:c>
      <x:c r="G748" s="8" t="str">
        <x:v>candidate_unreviewed</x:v>
      </x:c>
      <x:c r="H748" s="21" t="b">
        <x:v>0</x:v>
      </x:c>
      <x:c r="I748" s="8" t="str">
        <x:v>Keyword extraction only. Read page image and full context before promoting. English search cannot exclude Sinhala/Tamil or image-only content.</x:v>
      </x:c>
    </x:row>
    <x:row r="749" ht="210" customHeight="1">
      <x:c r="A749" s="11" t="str">
        <x:v>C00748</x:v>
      </x:c>
      <x:c r="B749" s="11" t="str">
        <x:v>SRC_0112</x:v>
      </x:c>
      <x:c r="C749" s="11" t="str">
        <x:v>mcK3c2YfvS.pdf</x:v>
      </x:c>
      <x:c r="D749" s="22" t="n">
        <x:v>129</x:v>
      </x:c>
      <x:c r="E749" s="11" t="str">
        <x:v>light and ventilation</x:v>
      </x:c>
      <x:c r="F749" s="11" t="str">
        <x:v>Schedule 10 [Regulation 71] Specification of Air Wells for natural light and ventilation Height of the building (meters) All Rooms Utility Rooms (eg: Toilets, Store Rooms, Garage, Washing Areas) Minimum Clear width (meters) Minimum Area of space (square meters) Minimum Clear Width (meters) Minimum Area of Space (square meters) (a) Less than 15 3.0 9.0 1.0 1.0 (b) 15 – 30 5.0 25.0 1.0 2.0 (b) 30 - 40 4.0 16.0 1.0 2.25 (c) More than 40 Either 1/10th of the height of the building or 6.0m, whichever is less Either area equal to 1/10 x 1/10 of the height of the building or 36.0m2 whichever is less 1.5 Either area equal to 1/20 x 1/20 of the height o</x:v>
      </x:c>
      <x:c r="G749" s="11" t="str">
        <x:v>candidate_unreviewed</x:v>
      </x:c>
      <x:c r="H749" s="24" t="b">
        <x:v>0</x:v>
      </x:c>
      <x:c r="I749" s="11" t="str">
        <x:v>Keyword extraction only. Read page image and full context before promoting. English search cannot exclude Sinhala/Tamil or image-only content.</x:v>
      </x:c>
    </x:row>
    <x:row r="750" ht="182" customHeight="1">
      <x:c r="A750" s="8" t="str">
        <x:v>C00749</x:v>
      </x:c>
      <x:c r="B750" s="8" t="str">
        <x:v>SRC_0112</x:v>
      </x:c>
      <x:c r="C750" s="8" t="str">
        <x:v>mcK3c2YfvS.pdf</x:v>
      </x:c>
      <x:c r="D750" s="18" t="n">
        <x:v>156</x:v>
      </x:c>
      <x:c r="E750" s="8" t="str">
        <x:v>minimum width</x:v>
      </x:c>
      <x:c r="F750" s="8" t="str">
        <x:v>and stability report from the Structural Engineer shall be submitted. 2 (1) Accessibility The minimum width of the access Road shall be as approved by the authority but in no case shall be less than 3.0m. However, in height terrain area, where no road constructions are permitted due to environmental impact, foot paths less than 3.0m wide may be considered. (2) Stability of the Tower Developer should submit a report to the Telecommunication Regulatory Commission regarding the structural stability of the tower; obtain from a qualified Structural Engineer.</x:v>
      </x:c>
      <x:c r="G750" s="8" t="str">
        <x:v>candidate_unreviewed</x:v>
      </x:c>
      <x:c r="H750" s="21" t="b">
        <x:v>0</x:v>
      </x:c>
      <x:c r="I750" s="8" t="str">
        <x:v>Keyword extraction only. Read page image and full context before promoting. English search cannot exclude Sinhala/Tamil or image-only content.</x:v>
      </x:c>
    </x:row>
    <x:row r="751" ht="224" customHeight="1">
      <x:c r="A751" s="11" t="str">
        <x:v>C00750</x:v>
      </x:c>
      <x:c r="B751" s="11" t="str">
        <x:v>SRC_0112</x:v>
      </x:c>
      <x:c r="C751" s="11" t="str">
        <x:v>mcK3c2YfvS.pdf</x:v>
      </x:c>
      <x:c r="D751" s="22" t="n">
        <x:v>158</x:v>
      </x:c>
      <x:c r="E751" s="11" t="str">
        <x:v>plot coverage</x:v>
      </x:c>
      <x:c r="F751" s="11" t="str">
        <x:v>rom the remaining portion of land. vii. When Building height is more than 1.0 floor, maximum plot coverage shall be 50%. viii. Buildings, walls, roofs and retaining parts that may badly affect the express way during the high wind shall not be permitted ix. Land lots directly facing to the Expressway no Boundary Walls permitted and a wire mesh fence with a maximum height of 2.0m or a fence with a similar finish is allowed x. Permission shall be granted for domestic excavations or constructions in accordance with the Central Environmental Authority's recommended vibration levels, while excavations, tunnels and explosions carried out inside of the ground surfaces will not be permitted. Also, any development work shall</x:v>
      </x:c>
      <x:c r="G751" s="11" t="str">
        <x:v>candidate_unreviewed</x:v>
      </x:c>
      <x:c r="H751" s="24" t="b">
        <x:v>0</x:v>
      </x:c>
      <x:c r="I751" s="11" t="str">
        <x:v>Keyword extraction only. Read page image and full context before promoting. English search cannot exclude Sinhala/Tamil or image-only content.</x:v>
      </x:c>
    </x:row>
    <x:row r="752" ht="210" customHeight="1">
      <x:c r="A752" s="8" t="str">
        <x:v>C00751</x:v>
      </x:c>
      <x:c r="B752" s="8" t="str">
        <x:v>SRC_0112</x:v>
      </x:c>
      <x:c r="C752" s="8" t="str">
        <x:v>mcK3c2YfvS.pdf</x:v>
      </x:c>
      <x:c r="D752" s="18" t="n">
        <x:v>163</x:v>
      </x:c>
      <x:c r="E752" s="8" t="str">
        <x:v>plot coverage</x:v>
      </x:c>
      <x:c r="F752" s="8" t="str">
        <x:v>and According to Altitude Slopes of the ground in degrees Minimum size of a plot of land (perch) Plot Coverage for Buildings Up to 10 m Other Zones 00 &lt; 10 0 20 10 65% 110 &lt; 200 20 15 65% 210 &lt; 300 20 20 50% *310 &lt; 450 30 30 40% 450 &gt; Development activities are restricted. However, recommendation from the National Building Research Organization shall be obtained from any kind of activities.  , The National Building Research Organization does not grant approval for any buildings to be constructed in this zone with a slop of 310 -450degrees. Note: In case where the slope of the land is more than 110 degrees, the recommendation shall be obtained from the National Building Research Organi</x:v>
      </x:c>
      <x:c r="G752" s="8" t="str">
        <x:v>candidate_unreviewed</x:v>
      </x:c>
      <x:c r="H752" s="21" t="b">
        <x:v>0</x:v>
      </x:c>
      <x:c r="I752" s="8" t="str">
        <x:v>Keyword extraction only. Read page image and full context before promoting. English search cannot exclude Sinhala/Tamil or image-only content.</x:v>
      </x:c>
    </x:row>
  </x:sheetData>
  <x:conditionalFormatting sqref="G2:G752">
    <x:cfRule type="containsText" dxfId="36" priority="1" operator="containsText" text="pending"/>
    <x:cfRule type="containsText" dxfId="37" priority="2" operator="containsText" text="conflict"/>
  </x:conditionalFormatting>
  <x:pageMargins left="0.7" right="0.7" top="0.75" bottom="0.75" header="0.3" footer="0.3"/>
  <x:tableParts count="1">
    <x:tablePart xmlns:r="http://schemas.openxmlformats.org/officeDocument/2006/relationships" r:id="R7a766ee29e1c4379"/>
  </x:tableParts>
</x:worksheet>
</file>

<file path=xl/worksheets/sheet1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62" hidden="0" customWidth="1"/>
    <x:col min="5" max="5" width="22" hidden="0" customWidth="1"/>
  </x:cols>
  <x:sheetData>
    <x:row r="1" ht="44" customHeight="1">
      <x:c r="A1" s="7" t="str">
        <x:v>field</x:v>
      </x:c>
      <x:c r="B1" s="7" t="str">
        <x:v>data_type</x:v>
      </x:c>
      <x:c r="C1" s="7" t="str">
        <x:v>required</x:v>
      </x:c>
      <x:c r="D1" s="7" t="str">
        <x:v>description</x:v>
      </x:c>
      <x:c r="E1" s="7" t="str">
        <x:v>example</x:v>
      </x:c>
    </x:row>
    <x:row r="2" ht="36" customHeight="1">
      <x:c r="A2" s="8" t="str">
        <x:v>rule_id</x:v>
      </x:c>
      <x:c r="B2" s="8" t="str">
        <x:v>string</x:v>
      </x:c>
      <x:c r="C2" s="21" t="b">
        <x:v>1</x:v>
      </x:c>
      <x:c r="D2" s="8" t="str">
        <x:v>Unique stable identifier</x:v>
      </x:c>
      <x:c r="E2" s="8" t="str">
        <x:v>BM_0001</x:v>
      </x:c>
    </x:row>
    <x:row r="3" ht="36" customHeight="1">
      <x:c r="A3" s="11" t="str">
        <x:v>category</x:v>
      </x:c>
      <x:c r="B3" s="11" t="str">
        <x:v>enum</x:v>
      </x:c>
      <x:c r="C3" s="24" t="b">
        <x:v>1</x:v>
      </x:c>
      <x:c r="D3" s="11" t="str">
        <x:v>Workbook collection</x:v>
      </x:c>
      <x:c r="E3" s="11" t="str">
        <x:v>Room Rules</x:v>
      </x:c>
    </x:row>
    <x:row r="4" ht="36" customHeight="1">
      <x:c r="A4" s="8" t="str">
        <x:v>entity</x:v>
      </x:c>
      <x:c r="B4" s="8" t="str">
        <x:v>string</x:v>
      </x:c>
      <x:c r="C4" s="21" t="b">
        <x:v>1</x:v>
      </x:c>
      <x:c r="D4" s="8" t="str">
        <x:v>Source category; not invented room mapping</x:v>
      </x:c>
      <x:c r="E4" s="8" t="str">
        <x:v>kitchen</x:v>
      </x:c>
    </x:row>
    <x:row r="5" ht="36" customHeight="1">
      <x:c r="A5" s="11" t="str">
        <x:v>parameter</x:v>
      </x:c>
      <x:c r="B5" s="11" t="str">
        <x:v>string</x:v>
      </x:c>
      <x:c r="C5" s="24" t="b">
        <x:v>1</x:v>
      </x:c>
      <x:c r="D5" s="11" t="str">
        <x:v>One measurable requirement per row</x:v>
      </x:c>
      <x:c r="E5" s="11" t="str">
        <x:v>floor_area</x:v>
      </x:c>
    </x:row>
    <x:row r="6" ht="36" customHeight="1">
      <x:c r="A6" s="8" t="str">
        <x:v>operator</x:v>
      </x:c>
      <x:c r="B6" s="8" t="str">
        <x:v>enum</x:v>
      </x:c>
      <x:c r="C6" s="21" t="b">
        <x:v>1</x:v>
      </x:c>
      <x:c r="D6" s="8" t="str">
        <x:v>Comparator or review/reference operation</x:v>
      </x:c>
      <x:c r="E6" s="8" t="str">
        <x:v>&gt;=</x:v>
      </x:c>
    </x:row>
    <x:row r="7" ht="42" customHeight="1">
      <x:c r="A7" s="11" t="str">
        <x:v>value</x:v>
      </x:c>
      <x:c r="B7" s="11" t="str">
        <x:v>number|boolean|null</x:v>
      </x:c>
      <x:c r="C7" s="24" t="b">
        <x:v>0</x:v>
      </x:c>
      <x:c r="D7" s="11" t="str">
        <x:v>Native numeric/boolean. Null is unknown/non-scalar, never zero.</x:v>
      </x:c>
      <x:c r="E7" s="11" t="str">
        <x:v>5.5</x:v>
      </x:c>
    </x:row>
    <x:row r="8" ht="42" customHeight="1">
      <x:c r="A8" s="8" t="str">
        <x:v>unit</x:v>
      </x:c>
      <x:c r="B8" s="8" t="str">
        <x:v>enum</x:v>
      </x:c>
      <x:c r="C8" s="21" t="b">
        <x:v>1</x:v>
      </x:c>
      <x:c r="D8" s="8" t="str">
        <x:v>m, m2, mm, ratio, count, boolean, reference, source_text</x:v>
      </x:c>
      <x:c r="E8" s="8" t="str">
        <x:v>m2</x:v>
      </x:c>
    </x:row>
    <x:row r="9" ht="42" customHeight="1">
      <x:c r="A9" s="11" t="str">
        <x:v>condition</x:v>
      </x:c>
      <x:c r="B9" s="11" t="str">
        <x:v>string</x:v>
      </x:c>
      <x:c r="C9" s="24" t="b">
        <x:v>1</x:v>
      </x:c>
      <x:c r="D9" s="11" t="str">
        <x:v>Required scope conditions in plain English</x:v>
      </x:c>
      <x:c r="E9" s="11" t="str">
        <x:v>dwelling_room_count &gt; 1</x:v>
      </x:c>
    </x:row>
    <x:row r="10" ht="56" customHeight="1">
      <x:c r="A10" s="8" t="str">
        <x:v>condition_json</x:v>
      </x:c>
      <x:c r="B10" s="8" t="str">
        <x:v>JSON object</x:v>
      </x:c>
      <x:c r="C10" s="21" t="b">
        <x:v>1</x:v>
      </x:c>
      <x:c r="D10" s="8" t="str">
        <x:v>Declarative JSON containing entity, comparator, threshold and scope text. It is data, not executable solver code. Scope review is required.</x:v>
      </x:c>
      <x:c r="E10" s="8" t="str">
        <x:v>{}</x:v>
      </x:c>
    </x:row>
    <x:row r="11" ht="42" customHeight="1">
      <x:c r="A11" s="11" t="str">
        <x:v>rule_type</x:v>
      </x:c>
      <x:c r="B11" s="11" t="str">
        <x:v>enum</x:v>
      </x:c>
      <x:c r="C11" s="24" t="b">
        <x:v>1</x:v>
      </x:c>
      <x:c r="D11" s="11" t="str">
        <x:v>regulation, recommended_practice, architect_guideline, prototype_assumption, user_preference</x:v>
      </x:c>
      <x:c r="E11" s="11" t="str">
        <x:v>regulation</x:v>
      </x:c>
    </x:row>
    <x:row r="12" ht="42" customHeight="1">
      <x:c r="A12" s="8" t="str">
        <x:v>severity</x:v>
      </x:c>
      <x:c r="B12" s="8" t="str">
        <x:v>enum</x:v>
      </x:c>
      <x:c r="C12" s="21" t="b">
        <x:v>1</x:v>
      </x:c>
      <x:c r="D12" s="8" t="str">
        <x:v>Hard only within confirmed applicability; preferences may be soft</x:v>
      </x:c>
      <x:c r="E12" s="8" t="str">
        <x:v>hard</x:v>
      </x:c>
    </x:row>
    <x:row r="13" ht="56" customHeight="1">
      <x:c r="A13" s="11" t="str">
        <x:v>source_id</x:v>
      </x:c>
      <x:c r="B13" s="11" t="str">
        <x:v>string</x:v>
      </x:c>
      <x:c r="C13" s="24" t="b">
        <x:v>1</x:v>
      </x:c>
      <x:c r="D13" s="11" t="str">
        <x:v>Join Sources.source_id. Document IDs are unique; Sources.content_group and sha256 identify duplicate bytes.</x:v>
      </x:c>
      <x:c r="E13" s="11" t="str">
        <x:v>SRC_...</x:v>
      </x:c>
    </x:row>
    <x:row r="14" ht="36" customHeight="1">
      <x:c r="A14" s="8" t="str">
        <x:v>source_clause</x:v>
      </x:c>
      <x:c r="B14" s="8" t="str">
        <x:v>string</x:v>
      </x:c>
      <x:c r="C14" s="21" t="b">
        <x:v>1</x:v>
      </x:c>
      <x:c r="D14" s="8" t="str">
        <x:v>Schedule, regulation or clause locator</x:v>
      </x:c>
      <x:c r="E14" s="8" t="str">
        <x:v>Schedule 7</x:v>
      </x:c>
    </x:row>
    <x:row r="15" ht="36" customHeight="1">
      <x:c r="A15" s="11" t="str">
        <x:v>pdf_page</x:v>
      </x:c>
      <x:c r="B15" s="11" t="str">
        <x:v>integer</x:v>
      </x:c>
      <x:c r="C15" s="24" t="b">
        <x:v>1</x:v>
      </x:c>
      <x:c r="D15" s="11" t="str">
        <x:v>One-based PDF page index</x:v>
      </x:c>
      <x:c r="E15" s="11" t="str">
        <x:v>123</x:v>
      </x:c>
    </x:row>
    <x:row r="16" ht="36" customHeight="1">
      <x:c r="A16" s="8" t="str">
        <x:v>printed_page</x:v>
      </x:c>
      <x:c r="B16" s="8" t="str">
        <x:v>string|null</x:v>
      </x:c>
      <x:c r="C16" s="21" t="b">
        <x:v>0</x:v>
      </x:c>
      <x:c r="D16" s="8" t="str">
        <x:v>Printed page label differs from PDF index</x:v>
      </x:c>
      <x:c r="E16" s="8" t="str">
        <x:v>123A</x:v>
      </x:c>
    </x:row>
    <x:row r="17" ht="36" customHeight="1">
      <x:c r="A17" s="11" t="str">
        <x:v>source_date</x:v>
      </x:c>
      <x:c r="B17" s="11" t="str">
        <x:v>date|null</x:v>
      </x:c>
      <x:c r="C17" s="24" t="b">
        <x:v>0</x:v>
      </x:c>
      <x:c r="D17" s="11" t="str">
        <x:v>Publication date, not assumed effective date</x:v>
      </x:c>
      <x:c r="E17" s="11" t="str">
        <x:v>2021-07-08</x:v>
      </x:c>
    </x:row>
    <x:row r="18" ht="42" customHeight="1">
      <x:c r="A18" s="8" t="str">
        <x:v>effective_date</x:v>
      </x:c>
      <x:c r="B18" s="8" t="str">
        <x:v>date|null</x:v>
      </x:c>
      <x:c r="C18" s="21" t="b">
        <x:v>0</x:v>
      </x:c>
      <x:c r="D18" s="8" t="str">
        <x:v>Unknown until commencement/applicability confirmed</x:v>
      </x:c>
      <x:c r="E18" s="8" t="str">
        <x:v>null</x:v>
      </x:c>
    </x:row>
    <x:row r="19" ht="42" customHeight="1">
      <x:c r="A19" s="11" t="str">
        <x:v>verification_status</x:v>
      </x:c>
      <x:c r="B19" s="11" t="str">
        <x:v>enum</x:v>
      </x:c>
      <x:c r="C19" s="24" t="b">
        <x:v>1</x:v>
      </x:c>
      <x:c r="D19" s="11" t="str">
        <x:v>Extraction/interpretation status; not legal certification</x:v>
      </x:c>
      <x:c r="E19" s="11" t="str">
        <x:v>source_checked</x:v>
      </x:c>
    </x:row>
    <x:row r="20" ht="56" customHeight="1">
      <x:c r="A20" s="8" t="str">
        <x:v>verified_by</x:v>
      </x:c>
      <x:c r="B20" s="8" t="str">
        <x:v>string</x:v>
      </x:c>
      <x:c r="C20" s="21" t="b">
        <x:v>1</x:v>
      </x:c>
      <x:c r="D20" s="8" t="str">
        <x:v>Extraction reviewer; professional review not implied</x:v>
      </x:c>
      <x:c r="E20" s="8" t="str">
        <x:v>AI extraction; professional review pending</x:v>
      </x:c>
    </x:row>
    <x:row r="21" ht="36" customHeight="1">
      <x:c r="A21" s="11" t="str">
        <x:v>checked_on</x:v>
      </x:c>
      <x:c r="B21" s="11" t="str">
        <x:v>date</x:v>
      </x:c>
      <x:c r="C21" s="24" t="b">
        <x:v>1</x:v>
      </x:c>
      <x:c r="D21" s="11" t="str">
        <x:v>Date of extraction check</x:v>
      </x:c>
      <x:c r="E21" s="11" t="str">
        <x:v>2026-10-19</x:v>
      </x:c>
    </x:row>
    <x:row r="22" ht="42" customHeight="1">
      <x:c r="A22" s="8" t="str">
        <x:v>applicability_status</x:v>
      </x:c>
      <x:c r="B22" s="8" t="str">
        <x:v>enum</x:v>
      </x:c>
      <x:c r="C22" s="21" t="b">
        <x:v>1</x:v>
      </x:c>
      <x:c r="D22" s="8" t="str">
        <x:v>pending or confirmed only after review</x:v>
      </x:c>
      <x:c r="E22" s="8" t="str">
        <x:v>pending</x:v>
      </x:c>
    </x:row>
    <x:row r="23" ht="42" customHeight="1">
      <x:c r="A23" s="11" t="str">
        <x:v>enable_in_production</x:v>
      </x:c>
      <x:c r="B23" s="11" t="str">
        <x:v>boolean</x:v>
      </x:c>
      <x:c r="C23" s="24" t="b">
        <x:v>1</x:v>
      </x:c>
      <x:c r="D23" s="11" t="str">
        <x:v>False until legal scope, reviewer and executable predicate confirmed</x:v>
      </x:c>
      <x:c r="E23" s="11" t="str">
        <x:v>false</x:v>
      </x:c>
    </x:row>
    <x:row r="24" ht="42" customHeight="1">
      <x:c r="A24" s="8" t="str">
        <x:v>notes</x:v>
      </x:c>
      <x:c r="B24" s="8" t="str">
        <x:v>string|null</x:v>
      </x:c>
      <x:c r="C24" s="21" t="b">
        <x:v>0</x:v>
      </x:c>
      <x:c r="D24" s="8" t="str">
        <x:v>Exceptions, ambiguity and interpretation limits</x:v>
      </x:c>
      <x:c r="E24" s="8" t="str">
        <x:v>See source footnote</x:v>
      </x:c>
    </x:row>
  </x:sheetData>
  <x:pageMargins left="0.7" right="0.7" top="0.75" bottom="0.75" header="0.3" footer="0.3"/>
  <x:tableParts count="1">
    <x:tablePart xmlns:r="http://schemas.openxmlformats.org/officeDocument/2006/relationships" r:id="R7b8cd27cbb864115"/>
  </x:tableParts>
</x:worksheet>
</file>

<file path=xl/worksheets/sheet1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s>
  <x:sheetData>
    <x:row r="1" ht="44" customHeight="1">
      <x:c r="A1" s="7" t="str">
        <x:v>case_id</x:v>
      </x:c>
      <x:c r="B1" s="7" t="str">
        <x:v>expected</x:v>
      </x:c>
      <x:c r="C1" s="7" t="str">
        <x:v>actual</x:v>
      </x:c>
      <x:c r="D1" s="7" t="str">
        <x:v>result</x:v>
      </x:c>
    </x:row>
    <x:row r="2" ht="36" customHeight="1">
      <x:c r="A2" s="8" t="str">
        <x:v>TEST_001</x:v>
      </x:c>
      <x:c r="B2" s="8" t="str">
        <x:v>pass</x:v>
      </x:c>
      <x:c r="C2" s="8" t="str">
        <x:v>pass</x:v>
      </x:c>
      <x:c r="D2" s="8" t="str">
        <x:v>match</x:v>
      </x:c>
    </x:row>
    <x:row r="3" ht="36" customHeight="1">
      <x:c r="A3" s="11" t="str">
        <x:v>TEST_002</x:v>
      </x:c>
      <x:c r="B3" s="11" t="str">
        <x:v>fail</x:v>
      </x:c>
      <x:c r="C3" s="11" t="str">
        <x:v>fail</x:v>
      </x:c>
      <x:c r="D3" s="11" t="str">
        <x:v>match</x:v>
      </x:c>
    </x:row>
    <x:row r="4" ht="36" customHeight="1">
      <x:c r="A4" s="8" t="str">
        <x:v>TEST_003</x:v>
      </x:c>
      <x:c r="B4" s="8" t="str">
        <x:v>fail</x:v>
      </x:c>
      <x:c r="C4" s="8" t="str">
        <x:v>fail</x:v>
      </x:c>
      <x:c r="D4" s="8" t="str">
        <x:v>match</x:v>
      </x:c>
    </x:row>
    <x:row r="5" ht="36" customHeight="1">
      <x:c r="A5" s="11" t="str">
        <x:v>TEST_004</x:v>
      </x:c>
      <x:c r="B5" s="11" t="str">
        <x:v>pass</x:v>
      </x:c>
      <x:c r="C5" s="11" t="str">
        <x:v>pass</x:v>
      </x:c>
      <x:c r="D5" s="11" t="str">
        <x:v>match</x:v>
      </x:c>
    </x:row>
    <x:row r="6" ht="36" customHeight="1">
      <x:c r="A6" s="8" t="str">
        <x:v>TEST_005</x:v>
      </x:c>
      <x:c r="B6" s="8" t="str">
        <x:v>fail</x:v>
      </x:c>
      <x:c r="C6" s="8" t="str">
        <x:v>fail</x:v>
      </x:c>
      <x:c r="D6" s="8" t="str">
        <x:v>match</x:v>
      </x:c>
    </x:row>
    <x:row r="7" ht="36" customHeight="1">
      <x:c r="A7" s="11" t="str">
        <x:v>TEST_006</x:v>
      </x:c>
      <x:c r="B7" s="11" t="str">
        <x:v>fail</x:v>
      </x:c>
      <x:c r="C7" s="11" t="str">
        <x:v>fail</x:v>
      </x:c>
      <x:c r="D7" s="11" t="str">
        <x:v>match</x:v>
      </x:c>
    </x:row>
    <x:row r="8" ht="36" customHeight="1">
      <x:c r="A8" s="8" t="str">
        <x:v>TEST_007</x:v>
      </x:c>
      <x:c r="B8" s="8" t="str">
        <x:v>fail</x:v>
      </x:c>
      <x:c r="C8" s="8" t="str">
        <x:v>fail</x:v>
      </x:c>
      <x:c r="D8" s="8" t="str">
        <x:v>match</x:v>
      </x:c>
    </x:row>
    <x:row r="9" ht="36" customHeight="1">
      <x:c r="A9" s="11" t="str">
        <x:v>TEST_008</x:v>
      </x:c>
      <x:c r="B9" s="11" t="str">
        <x:v>not_evaluated</x:v>
      </x:c>
      <x:c r="C9" s="11" t="str">
        <x:v>not_evaluated</x:v>
      </x:c>
      <x:c r="D9" s="11" t="str">
        <x:v>match</x:v>
      </x:c>
    </x:row>
    <x:row r="10" ht="36" customHeight="1">
      <x:c r="A10" s="8" t="str">
        <x:v>TEST_009</x:v>
      </x:c>
      <x:c r="B10" s="8" t="str">
        <x:v>not_evaluated</x:v>
      </x:c>
      <x:c r="C10" s="8" t="str">
        <x:v>not_evaluated</x:v>
      </x:c>
      <x:c r="D10" s="8" t="str">
        <x:v>match</x:v>
      </x:c>
    </x:row>
  </x:sheetData>
  <x:pageMargins left="0.7" right="0.7" top="0.75" bottom="0.75" header="0.3" footer="0.3"/>
  <x:tableParts count="1">
    <x:tablePart xmlns:r="http://schemas.openxmlformats.org/officeDocument/2006/relationships" r:id="Rc0140bb458f74d0c"/>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8" hidden="0" customWidth="1"/>
    <x:col min="4" max="4" width="28" hidden="0" customWidth="1"/>
  </x:cols>
  <x:sheetData>
    <x:row r="1" ht="30" customHeight="1">
      <x:c r="A1" s="28" t="str">
        <x:v>check</x:v>
      </x:c>
      <x:c r="B1" s="28" t="str">
        <x:v>observed</x:v>
      </x:c>
      <x:c r="C1" s="28" t="str">
        <x:v>expected</x:v>
      </x:c>
      <x:c r="D1" s="28" t="str">
        <x:v>result</x:v>
      </x:c>
    </x:row>
    <x:row r="2" ht="30" customHeight="1">
      <x:c r="A2" s="2" t="str">
        <x:v>rule_count</x:v>
      </x:c>
      <x:c r="B2" s="2" t="n">
        <x:f>COUNTA('Room Rules'!A2:A29)+COUNTA('Stairs'!A2:A11)+COUNTA('Openings'!A2:A15)+COUNTA('Air Wells'!A2:A28)+COUNTA('Planning'!A2:A53)+COUNTA('Parking'!A2:A11)+COUNTA('Local Review'!A2:A8)</x:f>
        <x:v>148</x:v>
      </x:c>
      <x:c r="C2" s="2" t="n">
        <x:v>148</x:v>
      </x:c>
      <x:c r="D2" s="2" t="str">
        <x:f>IF(B2=C2,"match","mismatch")</x:f>
        <x:v>match</x:v>
      </x:c>
    </x:row>
    <x:row r="3" ht="30" customHeight="1">
      <x:c r="A3" s="2" t="str">
        <x:v>source_count</x:v>
      </x:c>
      <x:c r="B3" s="2" t="n">
        <x:f>COUNTA('Sources'!A2:A116)</x:f>
        <x:v>115</x:v>
      </x:c>
      <x:c r="C3" s="2" t="n">
        <x:v>115</x:v>
      </x:c>
      <x:c r="D3" s="2" t="str">
        <x:f>IF(B3=C3,"match","mismatch")</x:f>
        <x:v>match</x:v>
      </x:c>
    </x:row>
    <x:row r="4" ht="30" customHeight="1">
      <x:c r="A4" s="2" t="str">
        <x:v>production_enabled_rules</x:v>
      </x:c>
      <x:c r="B4" s="2" t="n">
        <x:f>COUNTIFS('Room Rules'!W2:W29,TRUE)+COUNTIFS('Stairs'!W2:W11,TRUE)+COUNTIFS('Openings'!W2:W15,TRUE)+COUNTIFS('Air Wells'!W2:W28,TRUE)+COUNTIFS('Planning'!W2:W53,TRUE)+COUNTIFS('Parking'!W2:W11,TRUE)+COUNTIFS('Local Review'!W2:W8,TRUE)</x:f>
        <x:v>0</x:v>
      </x:c>
      <x:c r="C4" s="2" t="n">
        <x:v>0</x:v>
      </x:c>
      <x:c r="D4" s="2" t="str">
        <x:f>IF(B4=C4,"match","mismatch")</x:f>
        <x:v>match</x:v>
      </x:c>
    </x:row>
    <x:row r="5" ht="30" customHeight="1">
      <x:c r="A5" s="2" t="str">
        <x:v>test_mismatches</x:v>
      </x:c>
      <x:c r="B5" s="2" t="n">
        <x:f>COUNTIFS('Test Results'!D2:D10,"mismatch")</x:f>
        <x:v>0</x:v>
      </x:c>
      <x:c r="C5" s="2" t="n">
        <x:v>0</x:v>
      </x:c>
      <x:c r="D5" s="2" t="str">
        <x:f>IF(B5=C5,"match","mismatch")</x:f>
        <x:v>match</x:v>
      </x:c>
    </x:row>
    <x:row r="6" ht="30" customHeight="1">
      <x:c r="A6" s="2" t="str">
        <x:v>candidate_count</x:v>
      </x:c>
      <x:c r="B6" s="2" t="n">
        <x:f>COUNTA('Candidate Pages'!A2:A752)</x:f>
        <x:v>751</x:v>
      </x:c>
      <x:c r="C6" s="2" t="n">
        <x:v>751</x:v>
      </x:c>
      <x:c r="D6" s="2" t="str">
        <x:f>IF(B6=C6,"match","mismatch")</x:f>
        <x:v>match</x:v>
      </x:c>
    </x:row>
  </x:sheetData>
  <x:pageMargins left="0.7" right="0.7" top="0.75" bottom="0.75" header="0.3" footer="0.3"/>
</x:worksheet>
</file>