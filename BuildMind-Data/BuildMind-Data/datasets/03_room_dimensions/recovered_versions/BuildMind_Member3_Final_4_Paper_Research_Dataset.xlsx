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f92bb19cc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Register" sheetId="1" r:id="R82a7698467134974"/>
    <x:sheet xmlns:r="http://schemas.openxmlformats.org/officeDocument/2006/relationships" name="Room_Dimensions" sheetId="2" r:id="R661e99e8aa7e4095"/>
    <x:sheet xmlns:r="http://schemas.openxmlformats.org/officeDocument/2006/relationships" name="Zone_Configurations" sheetId="3" r:id="Rcf8dfcc9312c4ea9"/>
    <x:sheet xmlns:r="http://schemas.openxmlformats.org/officeDocument/2006/relationships" name="Design_Findings" sheetId="4" r:id="Rf089a678760a418e"/>
    <x:sheet xmlns:r="http://schemas.openxmlformats.org/officeDocument/2006/relationships" name="Legal_Separation" sheetId="5" r:id="R6fbf8719cdf247f4"/>
    <x:sheet xmlns:r="http://schemas.openxmlformats.org/officeDocument/2006/relationships" name="Research_Gaps" sheetId="6" r:id="R664dfb2ef22d4a59"/>
    <x:sheet xmlns:r="http://schemas.openxmlformats.org/officeDocument/2006/relationships" name="README" sheetId="7" r:id="Re7cb8531f110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85bbbcec54125" /><Relationship Type="http://schemas.openxmlformats.org/officeDocument/2006/relationships/theme" Target="/xl/theme/theme1.xml" Id="Rf376780408084262" /><Relationship Type="http://schemas.openxmlformats.org/officeDocument/2006/relationships/sharedStrings" Target="/xl/sharedStrings.xml" Id="R9e5a5474489c4a68" /><Relationship Type="http://schemas.openxmlformats.org/officeDocument/2006/relationships/worksheet" Target="/xl/worksheets/sheet1.xml" Id="R82a7698467134974" /><Relationship Type="http://schemas.openxmlformats.org/officeDocument/2006/relationships/worksheet" Target="/xl/worksheets/sheet2.xml" Id="R661e99e8aa7e4095" /><Relationship Type="http://schemas.openxmlformats.org/officeDocument/2006/relationships/worksheet" Target="/xl/worksheets/sheet3.xml" Id="Rcf8dfcc9312c4ea9" /><Relationship Type="http://schemas.openxmlformats.org/officeDocument/2006/relationships/worksheet" Target="/xl/worksheets/sheet4.xml" Id="Rf089a678760a418e" /><Relationship Type="http://schemas.openxmlformats.org/officeDocument/2006/relationships/worksheet" Target="/xl/worksheets/sheet5.xml" Id="R6fbf8719cdf247f4" /><Relationship Type="http://schemas.openxmlformats.org/officeDocument/2006/relationships/worksheet" Target="/xl/worksheets/sheet6.xml" Id="R664dfb2ef22d4a59" /><Relationship Type="http://schemas.openxmlformats.org/officeDocument/2006/relationships/worksheet" Target="/xl/worksheets/sheet7.xml" Id="Re7cb8531f1104b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10" hidden="0" customWidth="1"/>
    <x:col min="5" max="5" width="42" hidden="0" customWidth="1"/>
    <x:col min="6" max="6" width="23" hidden="0" customWidth="1"/>
    <x:col min="7" max="7" width="43" hidden="0" customWidth="1"/>
    <x:col min="8" max="8" width="52" hidden="0" customWidth="1"/>
    <x:col min="9" max="9" width="52" hidden="0" customWidth="1"/>
  </x:cols>
  <x:sheetData>
    <x:row r="1" ht="35" customHeight="1">
      <x:c r="A1" s="8" t="str">
        <x:v>Source_ID</x:v>
      </x:c>
      <x:c r="B1" s="8" t="str">
        <x:v>PDF filename</x:v>
      </x:c>
      <x:c r="C1" s="8" t="str">
        <x:v>Authors</x:v>
      </x:c>
      <x:c r="D1" s="8" t="str">
        <x:v>Year</x:v>
      </x:c>
      <x:c r="E1" s="8" t="str">
        <x:v>Study focus</x:v>
      </x:c>
      <x:c r="F1" s="8" t="str">
        <x:v>Study size</x:v>
      </x:c>
      <x:c r="G1" s="8" t="str">
        <x:v>BuildMind relevance</x:v>
      </x:c>
      <x:c r="H1" s="8" t="str">
        <x:v>Important limitation</x:v>
      </x:c>
      <x:c r="I1" s="8" t="str">
        <x:v>Citation</x:v>
      </x:c>
    </x:row>
    <x:row r="2" ht="42" customHeight="1">
      <x:c r="A2" s="9" t="str">
        <x:v>P01</x:v>
      </x:c>
      <x:c r="B2" s="9" t="str">
        <x:v>107.S18017.pdf</x:v>
      </x:c>
      <x:c r="C2" s="9" t="str">
        <x:v>Krishanth &amp; Vidhushan</x:v>
      </x:c>
      <x:c r="D2" s="9" t="str">
        <x:v>2026</x:v>
      </x:c>
      <x:c r="E2" s="9" t="str">
        <x:v>Dunsinane Estate plantation housing</x:v>
      </x:c>
      <x:c r="F2" s="9" t="str">
        <x:v>40 households</x:v>
      </x:c>
      <x:c r="G2" s="9" t="str">
        <x:v>Cultural/spatial requirements</x:v>
      </x:c>
      <x:c r="H2" s="9" t="str">
        <x:v>Not a legal room-size source</x:v>
      </x:c>
      <x:c r="I2" s="9" t="str">
        <x:v>DOI 10.31705/WCS.2026.107</x:v>
      </x:c>
    </x:row>
    <x:row r="3" ht="42" customHeight="1">
      <x:c r="A3" s="9" t="str">
        <x:v>P02</x:v>
      </x:c>
      <x:c r="B3" s="9" t="str">
        <x:v>068.S18142.pdf</x:v>
      </x:c>
      <x:c r="C3" s="9" t="str">
        <x:v>Herath, Thiruchelvam &amp; Uduwage</x:v>
      </x:c>
      <x:c r="D3" s="9" t="str">
        <x:v>2026</x:v>
      </x:c>
      <x:c r="E3" s="9" t="str">
        <x:v>Inflation-adjusted construction cost estimation</x:v>
      </x:c>
      <x:c r="F3" s="9" t="str">
        <x:v>40 valid responses</x:v>
      </x:c>
      <x:c r="G3" s="9" t="str">
        <x:v>Cost-estimation context</x:v>
      </x:c>
      <x:c r="H3" s="9" t="str">
        <x:v>No room dimensions</x:v>
      </x:c>
      <x:c r="I3" s="9" t="str">
        <x:v>DOI 10.31705/WCS.2026.68</x:v>
      </x:c>
    </x:row>
    <x:row r="4" ht="42" customHeight="1">
      <x:c r="A4" s="9" t="str">
        <x:v>P03</x:v>
      </x:c>
      <x:c r="B4" s="9" t="str">
        <x:v>101. S17051.pdf</x:v>
      </x:c>
      <x:c r="C4" s="9" t="str">
        <x:v>Senarathna &amp; Hettiarachchi</x:v>
      </x:c>
      <x:c r="D4" s="9" t="str">
        <x:v>2025</x:v>
      </x:c>
      <x:c r="E4" s="9" t="str">
        <x:v>Swarna Place incremental vertical housing</x:v>
      </x:c>
      <x:c r="F4" s="9" t="str">
        <x:v>60 surveys</x:v>
      </x:c>
      <x:c r="G4" s="9" t="str">
        <x:v>Spatial quality / multi-floor constraints</x:v>
      </x:c>
      <x:c r="H4" s="9" t="str">
        <x:v>No verified room-size standards</x:v>
      </x:c>
      <x:c r="I4" s="9" t="str">
        <x:v>DOI 10.31705/WCS.2025.101</x:v>
      </x:c>
    </x:row>
    <x:row r="5" ht="42" customHeight="1">
      <x:c r="A5" s="9" t="str">
        <x:v>P04</x:v>
      </x:c>
      <x:c r="B5" s="9" t="str">
        <x:v>s40095-018-0295-3.pdf</x:v>
      </x:c>
      <x:c r="C5" s="9" t="str">
        <x:v>Pathirana, Rodrigo &amp; Halwatura</x:v>
      </x:c>
      <x:c r="D5" s="9" t="str">
        <x:v>2019</x:v>
      </x:c>
      <x:c r="E5" s="9" t="str">
        <x:v>Thermal comfort of naturally ventilated houses</x:v>
      </x:c>
      <x:c r="F5" s="9" t="str">
        <x:v>300 simulation models</x:v>
      </x:c>
      <x:c r="G5" s="9" t="str">
        <x:v>Measured inputs for simulation and 21 zone configurations</x:v>
      </x:c>
      <x:c r="H5" s="9" t="str">
        <x:v>Uses Neufert for Table 2; NOT Sri Lankan legal minima</x:v>
      </x:c>
      <x:c r="I5" s="9" t="str">
        <x:v>International Journal of Energy and Environmental Engineering 10:107-120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6" hidden="0" customWidth="1"/>
    <x:col min="6" max="6" width="13" hidden="0" customWidth="1"/>
    <x:col min="7" max="7" width="18" hidden="0" customWidth="1"/>
    <x:col min="8" max="8" width="45" hidden="0" customWidth="1"/>
    <x:col min="9" max="9" width="22" hidden="0" customWidth="1"/>
    <x:col min="10" max="10" width="25" hidden="0" customWidth="1"/>
  </x:cols>
  <x:sheetData>
    <x:row r="1" ht="35" customHeight="1">
      <x:c r="A1" s="8" t="str">
        <x:v>Source_ID</x:v>
      </x:c>
      <x:c r="B1" s="8" t="str">
        <x:v>Room</x:v>
      </x:c>
      <x:c r="C1" s="8" t="str">
        <x:v>Length_m</x:v>
      </x:c>
      <x:c r="D1" s="8" t="str">
        <x:v>Width_m</x:v>
      </x:c>
      <x:c r="E1" s="8" t="str">
        <x:v>Area_m2</x:v>
      </x:c>
      <x:c r="F1" s="8" t="str">
        <x:v>Area_unit</x:v>
      </x:c>
      <x:c r="G1" s="8" t="str">
        <x:v>Evidence_locator</x:v>
      </x:c>
      <x:c r="H1" s="8" t="str">
        <x:v>Context</x:v>
      </x:c>
      <x:c r="I1" s="8" t="str">
        <x:v>Evidence_type</x:v>
      </x:c>
      <x:c r="J1" s="8" t="str">
        <x:v>Compliance_status</x:v>
      </x:c>
    </x:row>
    <x:row r="2" ht="42" customHeight="1">
      <x:c r="A2" s="9" t="str">
        <x:v>P04</x:v>
      </x:c>
      <x:c r="B2" s="9" t="str">
        <x:v>Kitchen</x:v>
      </x:c>
      <x:c r="C2" s="9" t="n">
        <x:v>2.4</x:v>
      </x:c>
      <x:c r="D2" s="9" t="n">
        <x:v>2.3</x:v>
      </x:c>
      <x:c r="E2" s="9" t="n">
        <x:f>C2*D2</x:f>
        <x:v>5.52</x:v>
      </x:c>
      <x:c r="F2" s="9" t="str">
        <x:v>m²</x:v>
      </x:c>
      <x:c r="G2" s="9" t="str">
        <x:v>Table 2</x:v>
      </x:c>
      <x:c r="H2" s="9" t="str">
        <x:v>Simulation input; Neufert-derived</x:v>
      </x:c>
      <x:c r="I2" s="9" t="str">
        <x:v>RESEARCH_ONLY</x:v>
      </x:c>
      <x:c r="J2" s="9" t="str">
        <x:v>NOT_LEGAL_MINIMUM</x:v>
      </x:c>
    </x:row>
    <x:row r="3" ht="42" customHeight="1">
      <x:c r="A3" s="9" t="str">
        <x:v>P04</x:v>
      </x:c>
      <x:c r="B3" s="9" t="str">
        <x:v>Bedroom</x:v>
      </x:c>
      <x:c r="C3" s="9" t="n">
        <x:v>3.6</x:v>
      </x:c>
      <x:c r="D3" s="9" t="n">
        <x:v>3.5</x:v>
      </x:c>
      <x:c r="E3" s="9" t="n">
        <x:f>C3*D3</x:f>
        <x:v>12.6</x:v>
      </x:c>
      <x:c r="F3" s="9" t="str">
        <x:v>m²</x:v>
      </x:c>
      <x:c r="G3" s="9" t="str">
        <x:v>Table 2</x:v>
      </x:c>
      <x:c r="H3" s="9" t="str">
        <x:v>Simulation input; Neufert-derived</x:v>
      </x:c>
      <x:c r="I3" s="9" t="str">
        <x:v>RESEARCH_ONLY</x:v>
      </x:c>
      <x:c r="J3" s="9" t="str">
        <x:v>NOT_LEGAL_MINIMUM</x:v>
      </x:c>
    </x:row>
    <x:row r="4" ht="42" customHeight="1">
      <x:c r="A4" s="9" t="str">
        <x:v>P04</x:v>
      </x:c>
      <x:c r="B4" s="9" t="str">
        <x:v>Living + Dining (6 people)</x:v>
      </x:c>
      <x:c r="C4" s="9" t="n">
        <x:v>4.8</x:v>
      </x:c>
      <x:c r="D4" s="9" t="n">
        <x:v>3.3</x:v>
      </x:c>
      <x:c r="E4" s="9" t="n">
        <x:f>C4*D4</x:f>
        <x:v>15.839999999999998</x:v>
      </x:c>
      <x:c r="F4" s="9" t="str">
        <x:v>m²</x:v>
      </x:c>
      <x:c r="G4" s="9" t="str">
        <x:v>Table 2</x:v>
      </x:c>
      <x:c r="H4" s="9" t="str">
        <x:v>Simulation input; Neufert-derived</x:v>
      </x:c>
      <x:c r="I4" s="9" t="str">
        <x:v>RESEARCH_ONLY</x:v>
      </x:c>
      <x:c r="J4" s="9" t="str">
        <x:v>NOT_LEGAL_MINIMUM</x:v>
      </x:c>
    </x:row>
    <x:row r="5" ht="42" customHeight="1">
      <x:c r="A5" s="9" t="str">
        <x:v>P04</x:v>
      </x:c>
      <x:c r="B5" s="9" t="str">
        <x:v>Bathroom</x:v>
      </x:c>
      <x:c r="C5" s="9" t="n">
        <x:v>1.6</x:v>
      </x:c>
      <x:c r="D5" s="9" t="n">
        <x:v>1.4</x:v>
      </x:c>
      <x:c r="E5" s="9" t="n">
        <x:f>C5*D5</x:f>
        <x:v>2.2399999999999998</x:v>
      </x:c>
      <x:c r="F5" s="9" t="str">
        <x:v>m²</x:v>
      </x:c>
      <x:c r="G5" s="9" t="str">
        <x:v>Table 2</x:v>
      </x:c>
      <x:c r="H5" s="9" t="str">
        <x:v>Simulation input; Neufert-derived</x:v>
      </x:c>
      <x:c r="I5" s="9" t="str">
        <x:v>RESEARCH_ONLY</x:v>
      </x:c>
      <x:c r="J5" s="9" t="str">
        <x:v>NOT_LEGAL_MINIMUM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22" hidden="0" customWidth="1"/>
    <x:col min="5" max="5" width="23" hidden="0" customWidth="1"/>
    <x:col min="6" max="6" width="24" hidden="0" customWidth="1"/>
    <x:col min="7" max="7" width="25" hidden="0" customWidth="1"/>
    <x:col min="8" max="8" width="12" hidden="0" customWidth="1"/>
    <x:col min="9" max="9" width="18" hidden="0" customWidth="1"/>
    <x:col min="10" max="10" width="49" hidden="0" customWidth="1"/>
    <x:col min="11" max="11" width="21" hidden="0" customWidth="1"/>
  </x:cols>
  <x:sheetData>
    <x:row r="1" ht="35" customHeight="1">
      <x:c r="A1" s="8" t="str">
        <x:v>Source_ID</x:v>
      </x:c>
      <x:c r="B1" s="8" t="str">
        <x:v>House_case</x:v>
      </x:c>
      <x:c r="C1" s="8" t="str">
        <x:v>Shape</x:v>
      </x:c>
      <x:c r="D1" s="8" t="str">
        <x:v>Zone_size_category</x:v>
      </x:c>
      <x:c r="E1" s="8" t="str">
        <x:v>Kitchen_area_m2</x:v>
      </x:c>
      <x:c r="F1" s="8" t="str">
        <x:v>Bathroom_area_m2</x:v>
      </x:c>
      <x:c r="G1" s="8" t="str">
        <x:v>Living_zone_area_m2</x:v>
      </x:c>
      <x:c r="H1" s="8" t="str">
        <x:v>Unit</x:v>
      </x:c>
      <x:c r="I1" s="8" t="str">
        <x:v>Evidence_locator</x:v>
      </x:c>
      <x:c r="J1" s="8" t="str">
        <x:v>Interpretation</x:v>
      </x:c>
      <x:c r="K1" s="8" t="str">
        <x:v>Status</x:v>
      </x:c>
    </x:row>
    <x:row r="2" ht="42" customHeight="1">
      <x:c r="A2" s="9" t="str">
        <x:v>P04</x:v>
      </x:c>
      <x:c r="B2" s="9" t="str">
        <x:v>S case 1</x:v>
      </x:c>
      <x:c r="C2" s="9" t="str">
        <x:v>S</x:v>
      </x:c>
      <x:c r="D2" s="9" t="n">
        <x:v>1</x:v>
      </x:c>
      <x:c r="E2" s="9" t="n">
        <x:v>6.14</x:v>
      </x:c>
      <x:c r="F2" s="9" t="n">
        <x:v>2.5</x:v>
      </x:c>
      <x:c r="G2" s="9" t="n">
        <x:v>46.92</x:v>
      </x:c>
      <x:c r="H2" s="9" t="str">
        <x:v>m²</x:v>
      </x:c>
      <x:c r="I2" s="9" t="str">
        <x:v>Table 5</x:v>
      </x:c>
      <x:c r="J2" s="9" t="str">
        <x:v>Simulation zone areas; not room-size legal minima</x:v>
      </x:c>
      <x:c r="K2" s="9" t="str">
        <x:v>RESEARCH_ONLY</x:v>
      </x:c>
    </x:row>
    <x:row r="3" ht="42" customHeight="1">
      <x:c r="A3" s="9" t="str">
        <x:v>P04</x:v>
      </x:c>
      <x:c r="B3" s="9" t="str">
        <x:v>S case 1</x:v>
      </x:c>
      <x:c r="C3" s="9" t="str">
        <x:v>S</x:v>
      </x:c>
      <x:c r="D3" s="9" t="n">
        <x:v>2</x:v>
      </x:c>
      <x:c r="E3" s="9" t="n">
        <x:v>9.44</x:v>
      </x:c>
      <x:c r="F3" s="9" t="n">
        <x:v>3.54</x:v>
      </x:c>
      <x:c r="G3" s="9" t="n">
        <x:v>42.64</x:v>
      </x:c>
      <x:c r="H3" s="9" t="str">
        <x:v>m²</x:v>
      </x:c>
      <x:c r="I3" s="9" t="str">
        <x:v>Table 5</x:v>
      </x:c>
      <x:c r="J3" s="9" t="str">
        <x:v>Simulation zone areas; not room-size legal minima</x:v>
      </x:c>
      <x:c r="K3" s="9" t="str">
        <x:v>RESEARCH_ONLY</x:v>
      </x:c>
    </x:row>
    <x:row r="4" ht="42" customHeight="1">
      <x:c r="A4" s="9" t="str">
        <x:v>P04</x:v>
      </x:c>
      <x:c r="B4" s="9" t="str">
        <x:v>S case 1</x:v>
      </x:c>
      <x:c r="C4" s="9" t="str">
        <x:v>S</x:v>
      </x:c>
      <x:c r="D4" s="9" t="n">
        <x:v>3</x:v>
      </x:c>
      <x:c r="E4" s="9" t="n">
        <x:v>13.93</x:v>
      </x:c>
      <x:c r="F4" s="9" t="n">
        <x:v>5.22</x:v>
      </x:c>
      <x:c r="G4" s="9" t="n">
        <x:v>36.33</x:v>
      </x:c>
      <x:c r="H4" s="9" t="str">
        <x:v>m²</x:v>
      </x:c>
      <x:c r="I4" s="9" t="str">
        <x:v>Table 5</x:v>
      </x:c>
      <x:c r="J4" s="9" t="str">
        <x:v>Simulation zone areas; not room-size legal minima</x:v>
      </x:c>
      <x:c r="K4" s="9" t="str">
        <x:v>RESEARCH_ONLY</x:v>
      </x:c>
    </x:row>
    <x:row r="5" ht="42" customHeight="1">
      <x:c r="A5" s="9" t="str">
        <x:v>P04</x:v>
      </x:c>
      <x:c r="B5" s="9" t="str">
        <x:v>S case 2</x:v>
      </x:c>
      <x:c r="C5" s="9" t="str">
        <x:v>S</x:v>
      </x:c>
      <x:c r="D5" s="9" t="n">
        <x:v>1</x:v>
      </x:c>
      <x:c r="E5" s="9" t="n">
        <x:v>6.05</x:v>
      </x:c>
      <x:c r="F5" s="9" t="n">
        <x:v>2.86</x:v>
      </x:c>
      <x:c r="G5" s="9" t="n">
        <x:v>46.72</x:v>
      </x:c>
      <x:c r="H5" s="9" t="str">
        <x:v>m²</x:v>
      </x:c>
      <x:c r="I5" s="9" t="str">
        <x:v>Table 5</x:v>
      </x:c>
      <x:c r="J5" s="9" t="str">
        <x:v>Simulation zone areas; not room-size legal minima</x:v>
      </x:c>
      <x:c r="K5" s="9" t="str">
        <x:v>RESEARCH_ONLY</x:v>
      </x:c>
    </x:row>
    <x:row r="6" ht="42" customHeight="1">
      <x:c r="A6" s="9" t="str">
        <x:v>P04</x:v>
      </x:c>
      <x:c r="B6" s="9" t="str">
        <x:v>S case 2</x:v>
      </x:c>
      <x:c r="C6" s="9" t="str">
        <x:v>S</x:v>
      </x:c>
      <x:c r="D6" s="9" t="n">
        <x:v>2</x:v>
      </x:c>
      <x:c r="E6" s="9" t="n">
        <x:v>9.87</x:v>
      </x:c>
      <x:c r="F6" s="9" t="n">
        <x:v>2.86</x:v>
      </x:c>
      <x:c r="G6" s="9" t="n">
        <x:v>43.38</x:v>
      </x:c>
      <x:c r="H6" s="9" t="str">
        <x:v>m²</x:v>
      </x:c>
      <x:c r="I6" s="9" t="str">
        <x:v>Table 5</x:v>
      </x:c>
      <x:c r="J6" s="9" t="str">
        <x:v>Simulation zone areas; not room-size legal minima</x:v>
      </x:c>
      <x:c r="K6" s="9" t="str">
        <x:v>RESEARCH_ONLY</x:v>
      </x:c>
    </x:row>
    <x:row r="7" ht="42" customHeight="1">
      <x:c r="A7" s="9" t="str">
        <x:v>P04</x:v>
      </x:c>
      <x:c r="B7" s="9" t="str">
        <x:v>S case 2</x:v>
      </x:c>
      <x:c r="C7" s="9" t="str">
        <x:v>S</x:v>
      </x:c>
      <x:c r="D7" s="9" t="n">
        <x:v>3</x:v>
      </x:c>
      <x:c r="E7" s="9" t="n">
        <x:v>14.78</x:v>
      </x:c>
      <x:c r="F7" s="9" t="n">
        <x:v>2.86</x:v>
      </x:c>
      <x:c r="G7" s="9" t="n">
        <x:v>38.46</x:v>
      </x:c>
      <x:c r="H7" s="9" t="str">
        <x:v>m²</x:v>
      </x:c>
      <x:c r="I7" s="9" t="str">
        <x:v>Table 5</x:v>
      </x:c>
      <x:c r="J7" s="9" t="str">
        <x:v>Simulation zone areas; not room-size legal minima</x:v>
      </x:c>
      <x:c r="K7" s="9" t="str">
        <x:v>RESEARCH_ONLY</x:v>
      </x:c>
    </x:row>
    <x:row r="8" ht="42" customHeight="1">
      <x:c r="A8" s="9" t="str">
        <x:v>P04</x:v>
      </x:c>
      <x:c r="B8" s="9" t="str">
        <x:v>R case 1</x:v>
      </x:c>
      <x:c r="C8" s="9" t="str">
        <x:v>R</x:v>
      </x:c>
      <x:c r="D8" s="9" t="n">
        <x:v>1</x:v>
      </x:c>
      <x:c r="E8" s="9" t="n">
        <x:v>5.52</x:v>
      </x:c>
      <x:c r="F8" s="9" t="n">
        <x:v>2.52</x:v>
      </x:c>
      <x:c r="G8" s="9" t="n">
        <x:v>47.68</x:v>
      </x:c>
      <x:c r="H8" s="9" t="str">
        <x:v>m²</x:v>
      </x:c>
      <x:c r="I8" s="9" t="str">
        <x:v>Table 5</x:v>
      </x:c>
      <x:c r="J8" s="9" t="str">
        <x:v>Simulation zone areas; not room-size legal minima</x:v>
      </x:c>
      <x:c r="K8" s="9" t="str">
        <x:v>RESEARCH_ONLY</x:v>
      </x:c>
    </x:row>
    <x:row r="9" ht="42" customHeight="1">
      <x:c r="A9" s="9" t="str">
        <x:v>P04</x:v>
      </x:c>
      <x:c r="B9" s="9" t="str">
        <x:v>R case 1</x:v>
      </x:c>
      <x:c r="C9" s="9" t="str">
        <x:v>R</x:v>
      </x:c>
      <x:c r="D9" s="9" t="n">
        <x:v>2</x:v>
      </x:c>
      <x:c r="E9" s="9" t="n">
        <x:v>7.76</x:v>
      </x:c>
      <x:c r="F9" s="9" t="n">
        <x:v>2.52</x:v>
      </x:c>
      <x:c r="G9" s="9" t="n">
        <x:v>45.19</x:v>
      </x:c>
      <x:c r="H9" s="9" t="str">
        <x:v>m²</x:v>
      </x:c>
      <x:c r="I9" s="9" t="str">
        <x:v>Table 5</x:v>
      </x:c>
      <x:c r="J9" s="9" t="str">
        <x:v>Simulation zone areas; not room-size legal minima</x:v>
      </x:c>
      <x:c r="K9" s="9" t="str">
        <x:v>RESEARCH_ONLY</x:v>
      </x:c>
    </x:row>
    <x:row r="10" ht="42" customHeight="1">
      <x:c r="A10" s="9" t="str">
        <x:v>P04</x:v>
      </x:c>
      <x:c r="B10" s="9" t="str">
        <x:v>R case 1</x:v>
      </x:c>
      <x:c r="C10" s="9" t="str">
        <x:v>R</x:v>
      </x:c>
      <x:c r="D10" s="9" t="n">
        <x:v>3</x:v>
      </x:c>
      <x:c r="E10" s="9" t="n">
        <x:v>11.81</x:v>
      </x:c>
      <x:c r="F10" s="9" t="n">
        <x:v>3.36</x:v>
      </x:c>
      <x:c r="G10" s="9" t="n">
        <x:v>40.14</x:v>
      </x:c>
      <x:c r="H10" s="9" t="str">
        <x:v>m²</x:v>
      </x:c>
      <x:c r="I10" s="9" t="str">
        <x:v>Table 5</x:v>
      </x:c>
      <x:c r="J10" s="9" t="str">
        <x:v>Simulation zone areas; not room-size legal minima</x:v>
      </x:c>
      <x:c r="K10" s="9" t="str">
        <x:v>RESEARCH_ONLY</x:v>
      </x:c>
    </x:row>
    <x:row r="11" ht="42" customHeight="1">
      <x:c r="A11" s="9" t="str">
        <x:v>P04</x:v>
      </x:c>
      <x:c r="B11" s="9" t="str">
        <x:v>R case 2</x:v>
      </x:c>
      <x:c r="C11" s="9" t="str">
        <x:v>R</x:v>
      </x:c>
      <x:c r="D11" s="9" t="n">
        <x:v>1</x:v>
      </x:c>
      <x:c r="E11" s="9" t="n">
        <x:v>5.52</x:v>
      </x:c>
      <x:c r="F11" s="9" t="n">
        <x:v>2.54</x:v>
      </x:c>
      <x:c r="G11" s="9" t="n">
        <x:v>46.97</x:v>
      </x:c>
      <x:c r="H11" s="9" t="str">
        <x:v>m²</x:v>
      </x:c>
      <x:c r="I11" s="9" t="str">
        <x:v>Table 5</x:v>
      </x:c>
      <x:c r="J11" s="9" t="str">
        <x:v>Simulation zone areas; not room-size legal minima</x:v>
      </x:c>
      <x:c r="K11" s="9" t="str">
        <x:v>RESEARCH_ONLY</x:v>
      </x:c>
    </x:row>
    <x:row r="12" ht="42" customHeight="1">
      <x:c r="A12" s="9" t="str">
        <x:v>P04</x:v>
      </x:c>
      <x:c r="B12" s="9" t="str">
        <x:v>R case 2</x:v>
      </x:c>
      <x:c r="C12" s="9" t="str">
        <x:v>R</x:v>
      </x:c>
      <x:c r="D12" s="9" t="n">
        <x:v>2</x:v>
      </x:c>
      <x:c r="E12" s="9" t="n">
        <x:v>8.4</x:v>
      </x:c>
      <x:c r="F12" s="9" t="n">
        <x:v>4.2</x:v>
      </x:c>
      <x:c r="G12" s="9" t="n">
        <x:v>42.16</x:v>
      </x:c>
      <x:c r="H12" s="9" t="str">
        <x:v>m²</x:v>
      </x:c>
      <x:c r="I12" s="9" t="str">
        <x:v>Table 5</x:v>
      </x:c>
      <x:c r="J12" s="9" t="str">
        <x:v>Simulation zone areas; not room-size legal minima</x:v>
      </x:c>
      <x:c r="K12" s="9" t="str">
        <x:v>RESEARCH_ONLY</x:v>
      </x:c>
    </x:row>
    <x:row r="13" ht="42" customHeight="1">
      <x:c r="A13" s="9" t="str">
        <x:v>P04</x:v>
      </x:c>
      <x:c r="B13" s="9" t="str">
        <x:v>R case 2</x:v>
      </x:c>
      <x:c r="C13" s="9" t="str">
        <x:v>R</x:v>
      </x:c>
      <x:c r="D13" s="9" t="n">
        <x:v>3</x:v>
      </x:c>
      <x:c r="E13" s="9" t="n">
        <x:v>12.25</x:v>
      </x:c>
      <x:c r="F13" s="9" t="n">
        <x:v>4.2</x:v>
      </x:c>
      <x:c r="G13" s="9" t="n">
        <x:v>38.17</x:v>
      </x:c>
      <x:c r="H13" s="9" t="str">
        <x:v>m²</x:v>
      </x:c>
      <x:c r="I13" s="9" t="str">
        <x:v>Table 5</x:v>
      </x:c>
      <x:c r="J13" s="9" t="str">
        <x:v>Simulation zone areas; not room-size legal minima</x:v>
      </x:c>
      <x:c r="K13" s="9" t="str">
        <x:v>RESEARCH_ONLY</x:v>
      </x:c>
    </x:row>
    <x:row r="14" ht="42" customHeight="1">
      <x:c r="A14" s="9" t="str">
        <x:v>P04</x:v>
      </x:c>
      <x:c r="B14" s="9" t="str">
        <x:v>L case 1</x:v>
      </x:c>
      <x:c r="C14" s="9" t="str">
        <x:v>L</x:v>
      </x:c>
      <x:c r="D14" s="9" t="n">
        <x:v>1</x:v>
      </x:c>
      <x:c r="E14" s="9" t="n">
        <x:v>5.52</x:v>
      </x:c>
      <x:c r="F14" s="9" t="n">
        <x:v>2.54</x:v>
      </x:c>
      <x:c r="G14" s="9" t="n">
        <x:v>46.38</x:v>
      </x:c>
      <x:c r="H14" s="9" t="str">
        <x:v>m²</x:v>
      </x:c>
      <x:c r="I14" s="9" t="str">
        <x:v>Table 5</x:v>
      </x:c>
      <x:c r="J14" s="9" t="str">
        <x:v>Simulation zone areas; not room-size legal minima</x:v>
      </x:c>
      <x:c r="K14" s="9" t="str">
        <x:v>RESEARCH_ONLY</x:v>
      </x:c>
    </x:row>
    <x:row r="15" ht="42" customHeight="1">
      <x:c r="A15" s="9" t="str">
        <x:v>P04</x:v>
      </x:c>
      <x:c r="B15" s="9" t="str">
        <x:v>L case 1</x:v>
      </x:c>
      <x:c r="C15" s="9" t="str">
        <x:v>L</x:v>
      </x:c>
      <x:c r="D15" s="9" t="n">
        <x:v>2</x:v>
      </x:c>
      <x:c r="E15" s="9" t="n">
        <x:v>8.04</x:v>
      </x:c>
      <x:c r="F15" s="9" t="n">
        <x:v>3.21</x:v>
      </x:c>
      <x:c r="G15" s="9" t="n">
        <x:v>42.96</x:v>
      </x:c>
      <x:c r="H15" s="9" t="str">
        <x:v>m²</x:v>
      </x:c>
      <x:c r="I15" s="9" t="str">
        <x:v>Table 5</x:v>
      </x:c>
      <x:c r="J15" s="9" t="str">
        <x:v>Simulation zone areas; not room-size legal minima</x:v>
      </x:c>
      <x:c r="K15" s="9" t="str">
        <x:v>RESEARCH_ONLY</x:v>
      </x:c>
    </x:row>
    <x:row r="16" ht="42" customHeight="1">
      <x:c r="A16" s="9" t="str">
        <x:v>P04</x:v>
      </x:c>
      <x:c r="B16" s="9" t="str">
        <x:v>L case 1</x:v>
      </x:c>
      <x:c r="C16" s="9" t="str">
        <x:v>L</x:v>
      </x:c>
      <x:c r="D16" s="9" t="n">
        <x:v>3</x:v>
      </x:c>
      <x:c r="E16" s="9" t="n">
        <x:v>11.85</x:v>
      </x:c>
      <x:c r="F16" s="9" t="n">
        <x:v>3.32</x:v>
      </x:c>
      <x:c r="G16" s="9" t="n">
        <x:v>38.88</x:v>
      </x:c>
      <x:c r="H16" s="9" t="str">
        <x:v>m²</x:v>
      </x:c>
      <x:c r="I16" s="9" t="str">
        <x:v>Table 5</x:v>
      </x:c>
      <x:c r="J16" s="9" t="str">
        <x:v>Simulation zone areas; not room-size legal minima</x:v>
      </x:c>
      <x:c r="K16" s="9" t="str">
        <x:v>RESEARCH_ONLY</x:v>
      </x:c>
    </x:row>
    <x:row r="17" ht="42" customHeight="1">
      <x:c r="A17" s="9" t="str">
        <x:v>P04</x:v>
      </x:c>
      <x:c r="B17" s="9" t="str">
        <x:v>L case 2</x:v>
      </x:c>
      <x:c r="C17" s="9" t="str">
        <x:v>L</x:v>
      </x:c>
      <x:c r="D17" s="9" t="n">
        <x:v>1</x:v>
      </x:c>
      <x:c r="E17" s="9" t="n">
        <x:v>5.52</x:v>
      </x:c>
      <x:c r="F17" s="9" t="n">
        <x:v>2.54</x:v>
      </x:c>
      <x:c r="G17" s="9" t="n">
        <x:v>44.79</x:v>
      </x:c>
      <x:c r="H17" s="9" t="str">
        <x:v>m²</x:v>
      </x:c>
      <x:c r="I17" s="9" t="str">
        <x:v>Table 5</x:v>
      </x:c>
      <x:c r="J17" s="9" t="str">
        <x:v>Simulation zone areas; not room-size legal minima</x:v>
      </x:c>
      <x:c r="K17" s="9" t="str">
        <x:v>RESEARCH_ONLY</x:v>
      </x:c>
    </x:row>
    <x:row r="18" ht="42" customHeight="1">
      <x:c r="A18" s="9" t="str">
        <x:v>P04</x:v>
      </x:c>
      <x:c r="B18" s="9" t="str">
        <x:v>L case 2</x:v>
      </x:c>
      <x:c r="C18" s="9" t="str">
        <x:v>L</x:v>
      </x:c>
      <x:c r="D18" s="9" t="n">
        <x:v>2</x:v>
      </x:c>
      <x:c r="E18" s="9" t="n">
        <x:v>8.2</x:v>
      </x:c>
      <x:c r="F18" s="9" t="n">
        <x:v>4.38</x:v>
      </x:c>
      <x:c r="G18" s="9" t="n">
        <x:v>40.3</x:v>
      </x:c>
      <x:c r="H18" s="9" t="str">
        <x:v>m²</x:v>
      </x:c>
      <x:c r="I18" s="9" t="str">
        <x:v>Table 5</x:v>
      </x:c>
      <x:c r="J18" s="9" t="str">
        <x:v>Simulation zone areas; not room-size legal minima</x:v>
      </x:c>
      <x:c r="K18" s="9" t="str">
        <x:v>RESEARCH_ONLY</x:v>
      </x:c>
    </x:row>
    <x:row r="19" ht="42" customHeight="1">
      <x:c r="A19" s="9" t="str">
        <x:v>P04</x:v>
      </x:c>
      <x:c r="B19" s="9" t="str">
        <x:v>L case 2</x:v>
      </x:c>
      <x:c r="C19" s="9" t="str">
        <x:v>L</x:v>
      </x:c>
      <x:c r="D19" s="9" t="n">
        <x:v>3</x:v>
      </x:c>
      <x:c r="E19" s="9" t="n">
        <x:v>12.07</x:v>
      </x:c>
      <x:c r="F19" s="9" t="n">
        <x:v>3.34</x:v>
      </x:c>
      <x:c r="G19" s="9" t="n">
        <x:v>37.53</x:v>
      </x:c>
      <x:c r="H19" s="9" t="str">
        <x:v>m²</x:v>
      </x:c>
      <x:c r="I19" s="9" t="str">
        <x:v>Table 5</x:v>
      </x:c>
      <x:c r="J19" s="9" t="str">
        <x:v>Simulation zone areas; not room-size legal minima</x:v>
      </x:c>
      <x:c r="K19" s="9" t="str">
        <x:v>RESEARCH_ONLY</x:v>
      </x:c>
    </x:row>
    <x:row r="20" ht="42" customHeight="1">
      <x:c r="A20" s="9" t="str">
        <x:v>P04</x:v>
      </x:c>
      <x:c r="B20" s="9" t="str">
        <x:v>L case 3</x:v>
      </x:c>
      <x:c r="C20" s="9" t="str">
        <x:v>L</x:v>
      </x:c>
      <x:c r="D20" s="9" t="n">
        <x:v>1</x:v>
      </x:c>
      <x:c r="E20" s="9" t="n">
        <x:v>5.52</x:v>
      </x:c>
      <x:c r="F20" s="9" t="n">
        <x:v>2.54</x:v>
      </x:c>
      <x:c r="G20" s="9" t="n">
        <x:v>45.09</x:v>
      </x:c>
      <x:c r="H20" s="9" t="str">
        <x:v>m²</x:v>
      </x:c>
      <x:c r="I20" s="9" t="str">
        <x:v>Table 5</x:v>
      </x:c>
      <x:c r="J20" s="9" t="str">
        <x:v>Simulation zone areas; not room-size legal minima</x:v>
      </x:c>
      <x:c r="K20" s="9" t="str">
        <x:v>RESEARCH_ONLY</x:v>
      </x:c>
    </x:row>
    <x:row r="21" ht="42" customHeight="1">
      <x:c r="A21" s="9" t="str">
        <x:v>P04</x:v>
      </x:c>
      <x:c r="B21" s="9" t="str">
        <x:v>L case 3</x:v>
      </x:c>
      <x:c r="C21" s="9" t="str">
        <x:v>L</x:v>
      </x:c>
      <x:c r="D21" s="9" t="n">
        <x:v>2</x:v>
      </x:c>
      <x:c r="E21" s="9" t="n">
        <x:v>7.86</x:v>
      </x:c>
      <x:c r="F21" s="9" t="n">
        <x:v>2.54</x:v>
      </x:c>
      <x:c r="G21" s="9" t="n">
        <x:v>42.82</x:v>
      </x:c>
      <x:c r="H21" s="9" t="str">
        <x:v>m²</x:v>
      </x:c>
      <x:c r="I21" s="9" t="str">
        <x:v>Table 5</x:v>
      </x:c>
      <x:c r="J21" s="9" t="str">
        <x:v>Simulation zone areas; not room-size legal minima</x:v>
      </x:c>
      <x:c r="K21" s="9" t="str">
        <x:v>RESEARCH_ONLY</x:v>
      </x:c>
    </x:row>
    <x:row r="22" ht="42" customHeight="1">
      <x:c r="A22" s="9" t="str">
        <x:v>P04</x:v>
      </x:c>
      <x:c r="B22" s="9" t="str">
        <x:v>L case 3</x:v>
      </x:c>
      <x:c r="C22" s="9" t="str">
        <x:v>L</x:v>
      </x:c>
      <x:c r="D22" s="9" t="n">
        <x:v>3</x:v>
      </x:c>
      <x:c r="E22" s="9" t="n">
        <x:v>11.46</x:v>
      </x:c>
      <x:c r="F22" s="9" t="n">
        <x:v>4.38</x:v>
      </x:c>
      <x:c r="G22" s="9" t="n">
        <x:v>37.23</x:v>
      </x:c>
      <x:c r="H22" s="9" t="str">
        <x:v>m²</x:v>
      </x:c>
      <x:c r="I22" s="9" t="str">
        <x:v>Table 5</x:v>
      </x:c>
      <x:c r="J22" s="9" t="str">
        <x:v>Simulation zone areas; not room-size legal minima</x:v>
      </x:c>
      <x:c r="K22" s="9" t="str">
        <x:v>RESEARCH_ONLY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57" hidden="0" customWidth="1"/>
    <x:col min="5" max="5" width="55" hidden="0" customWidth="1"/>
    <x:col min="6" max="6" width="50" hidden="0" customWidth="1"/>
    <x:col min="7" max="7" width="27" hidden="0" customWidth="1"/>
  </x:cols>
  <x:sheetData>
    <x:row r="1" ht="35" customHeight="1">
      <x:c r="A1" s="8" t="str">
        <x:v>Finding_ID</x:v>
      </x:c>
      <x:c r="B1" s="8" t="str">
        <x:v>Source_ID</x:v>
      </x:c>
      <x:c r="C1" s="8" t="str">
        <x:v>Topic</x:v>
      </x:c>
      <x:c r="D1" s="8" t="str">
        <x:v>Evidence summary</x:v>
      </x:c>
      <x:c r="E1" s="8" t="str">
        <x:v>Suggested BuildMind usage</x:v>
      </x:c>
      <x:c r="F1" s="8" t="str">
        <x:v>Caution</x:v>
      </x:c>
      <x:c r="G1" s="8" t="str">
        <x:v>Locator</x:v>
      </x:c>
    </x:row>
    <x:row r="2" ht="42" customHeight="1">
      <x:c r="A2" s="9" t="str">
        <x:v>F01</x:v>
      </x:c>
      <x:c r="B2" s="9" t="str">
        <x:v>P01</x:v>
      </x:c>
      <x:c r="C2" s="9" t="str">
        <x:v>Prayer/Vaastu spaces</x:v>
      </x:c>
      <x:c r="D2" s="9" t="str">
        <x:v>Households adapted spaces for religious use</x:v>
      </x:c>
      <x:c r="E2" s="9" t="str">
        <x:v>Offer optional prayer/pooja zone and user preference input</x:v>
      </x:c>
      <x:c r="F2" s="9" t="str">
        <x:v>Cultural requirement, not law</x:v>
      </x:c>
      <x:c r="G2" s="9" t="str">
        <x:v>Study methods and conclusions</x:v>
      </x:c>
    </x:row>
    <x:row r="3" ht="42" customHeight="1">
      <x:c r="A3" s="9" t="str">
        <x:v>F02</x:v>
      </x:c>
      <x:c r="B3" s="9" t="str">
        <x:v>P01</x:v>
      </x:c>
      <x:c r="C3" s="9" t="str">
        <x:v>Privacy and hospitality</x:v>
      </x:c>
      <x:c r="D3" s="9" t="str">
        <x:v>Privacy and guest hosting shaped verandas and room use</x:v>
      </x:c>
      <x:c r="E3" s="9" t="str">
        <x:v>Privacy and guest-space preferences</x:v>
      </x:c>
      <x:c r="F3" s="9" t="str">
        <x:v>Context-specific plantation study</x:v>
      </x:c>
      <x:c r="G3" s="9" t="str">
        <x:v>Results and conclusions</x:v>
      </x:c>
    </x:row>
    <x:row r="4" ht="42" customHeight="1">
      <x:c r="A4" s="9" t="str">
        <x:v>F03</x:v>
      </x:c>
      <x:c r="B4" s="9" t="str">
        <x:v>P01</x:v>
      </x:c>
      <x:c r="C4" s="9" t="str">
        <x:v>Expansion</x:v>
      </x:c>
      <x:c r="D4" s="9" t="str">
        <x:v>Incremental extensions respond to inadequate space</x:v>
      </x:c>
      <x:c r="E4" s="9" t="str">
        <x:v>Allow future expansion preference</x:v>
      </x:c>
      <x:c r="F4" s="9" t="str">
        <x:v>Do not infer structural safety</x:v>
      </x:c>
      <x:c r="G4" s="9" t="str">
        <x:v>Conclusions</x:v>
      </x:c>
    </x:row>
    <x:row r="5" ht="42" customHeight="1">
      <x:c r="A5" s="9" t="str">
        <x:v>F04</x:v>
      </x:c>
      <x:c r="B5" s="9" t="str">
        <x:v>P01</x:v>
      </x:c>
      <x:c r="C5" s="9" t="str">
        <x:v>Kitchen / sanitation</x:v>
      </x:c>
      <x:c r="D5" s="9" t="str">
        <x:v>Space and sanitation inadequacies identified</x:v>
      </x:c>
      <x:c r="E5" s="9" t="str">
        <x:v>Usability warnings for kitchen and toilet layouts</x:v>
      </x:c>
      <x:c r="F5" s="9" t="str">
        <x:v>No numeric minimum extracted</x:v>
      </x:c>
      <x:c r="G5" s="9" t="str">
        <x:v>Results 4.2</x:v>
      </x:c>
    </x:row>
    <x:row r="6" ht="42" customHeight="1">
      <x:c r="A6" s="9" t="str">
        <x:v>F05</x:v>
      </x:c>
      <x:c r="B6" s="9" t="str">
        <x:v>P02</x:v>
      </x:c>
      <x:c r="C6" s="9" t="str">
        <x:v>Inflation</x:v>
      </x:c>
      <x:c r="D6" s="9" t="str">
        <x:v>Price fluctuations undermine construction estimates</x:v>
      </x:c>
      <x:c r="E6" s="9" t="str">
        <x:v>Time-stamped BOQ rates; inflation warning</x:v>
      </x:c>
      <x:c r="F6" s="9" t="str">
        <x:v>For cost team, not room dimensions</x:v>
      </x:c>
      <x:c r="G6" s="9" t="str">
        <x:v>Results and discussion</x:v>
      </x:c>
    </x:row>
    <x:row r="7" ht="42" customHeight="1">
      <x:c r="A7" s="9" t="str">
        <x:v>F06</x:v>
      </x:c>
      <x:c r="B7" s="9" t="str">
        <x:v>P02</x:v>
      </x:c>
      <x:c r="C7" s="9" t="str">
        <x:v>Historical data</x:v>
      </x:c>
      <x:c r="D7" s="9" t="str">
        <x:v>Data quality and limited digitization are barriers</x:v>
      </x:c>
      <x:c r="E7" s="9" t="str">
        <x:v>Track cost data date, region, and provenance</x:v>
      </x:c>
      <x:c r="F7" s="9" t="str">
        <x:v>No direct cost rate dataset provided</x:v>
      </x:c>
      <x:c r="G7" s="9" t="str">
        <x:v>Results and discussion</x:v>
      </x:c>
    </x:row>
    <x:row r="8" ht="42" customHeight="1">
      <x:c r="A8" s="9" t="str">
        <x:v>F07</x:v>
      </x:c>
      <x:c r="B8" s="9" t="str">
        <x:v>P03</x:v>
      </x:c>
      <x:c r="C8" s="9" t="str">
        <x:v>Staircase / multi-floor</x:v>
      </x:c>
      <x:c r="D8" s="9" t="str">
        <x:v>Added stairs and partitions can constrain living space</x:v>
      </x:c>
      <x:c r="E8" s="9" t="str">
        <x:v>Stair footprint and usable-area validation</x:v>
      </x:c>
      <x:c r="F8" s="9" t="str">
        <x:v>Observational study; no universal threshold</x:v>
      </x:c>
      <x:c r="G8" s="9" t="str">
        <x:v>Research findings</x:v>
      </x:c>
    </x:row>
    <x:row r="9" ht="42" customHeight="1">
      <x:c r="A9" s="9" t="str">
        <x:v>F08</x:v>
      </x:c>
      <x:c r="B9" s="9" t="str">
        <x:v>P03</x:v>
      </x:c>
      <x:c r="C9" s="9" t="str">
        <x:v>Light / ventilation</x:v>
      </x:c>
      <x:c r="D9" s="9" t="str">
        <x:v>Later-stage extensions can reduce ground floor light/air</x:v>
      </x:c>
      <x:c r="E9" s="9" t="str">
        <x:v>Multi-floor daylight and ventilation review</x:v>
      </x:c>
      <x:c r="F9" s="9" t="str">
        <x:v>No legal opening-area rule extracted</x:v>
      </x:c>
      <x:c r="G9" s="9" t="str">
        <x:v>Research findings</x:v>
      </x:c>
    </x:row>
    <x:row r="10" ht="42" customHeight="1">
      <x:c r="A10" s="9" t="str">
        <x:v>F09</x:v>
      </x:c>
      <x:c r="B10" s="9" t="str">
        <x:v>P03</x:v>
      </x:c>
      <x:c r="C10" s="9" t="str">
        <x:v>Flexible living</x:v>
      </x:c>
      <x:c r="D10" s="9" t="str">
        <x:v>Living spaces lose multi-use flexibility during expansion</x:v>
      </x:c>
      <x:c r="E10" s="9" t="str">
        <x:v>Usable floor-area and functional zoning scoring</x:v>
      </x:c>
      <x:c r="F10" s="9" t="str">
        <x:v>Not a numeric dimensional standard</x:v>
      </x:c>
      <x:c r="G10" s="9" t="str">
        <x:v>Research findings</x:v>
      </x:c>
    </x:row>
    <x:row r="11" ht="42" customHeight="1">
      <x:c r="A11" s="9" t="str">
        <x:v>F10</x:v>
      </x:c>
      <x:c r="B11" s="9" t="str">
        <x:v>P04</x:v>
      </x:c>
      <x:c r="C11" s="9" t="str">
        <x:v>Building form</x:v>
      </x:c>
      <x:c r="D11" s="9" t="str">
        <x:v>Square, rectangle, L-shaped model comparisons</x:v>
      </x:c>
      <x:c r="E11" s="9" t="str">
        <x:v>Offer form alternatives</x:v>
      </x:c>
      <x:c r="F11" s="9" t="str">
        <x:v>Simulation-specific</x:v>
      </x:c>
      <x:c r="G11" s="9" t="str">
        <x:v>Figures 1-2</x:v>
      </x:c>
    </x:row>
    <x:row r="12" ht="42" customHeight="1">
      <x:c r="A12" s="9" t="str">
        <x:v>F11</x:v>
      </x:c>
      <x:c r="B12" s="9" t="str">
        <x:v>P04</x:v>
      </x:c>
      <x:c r="C12" s="9" t="str">
        <x:v>Window-to-wall ratio</x:v>
      </x:c>
      <x:c r="D12" s="9" t="str">
        <x:v>WWR 20,40,60,80 percent simulated</x:v>
      </x:c>
      <x:c r="E12" s="9" t="str">
        <x:v>Compare thermal/daylight trade-offs</x:v>
      </x:c>
      <x:c r="F12" s="9" t="str">
        <x:v>20% is NOT legal mandatory WWR</x:v>
      </x:c>
      <x:c r="G12" s="9" t="str">
        <x:v>Results / Table 6</x:v>
      </x:c>
    </x:row>
    <x:row r="13" ht="42" customHeight="1">
      <x:c r="A13" s="9" t="str">
        <x:v>F12</x:v>
      </x:c>
      <x:c r="B13" s="9" t="str">
        <x:v>P04</x:v>
      </x:c>
      <x:c r="C13" s="9" t="str">
        <x:v>Orientation</x:v>
      </x:c>
      <x:c r="D13" s="9" t="str">
        <x:v>Orientation effect depends on model shape and assumptions</x:v>
      </x:c>
      <x:c r="E13" s="9" t="str">
        <x:v>Context-sensitive orientation optimisation</x:v>
      </x:c>
      <x:c r="F13" s="9" t="str">
        <x:v>Do not hardcode single best direction</x:v>
      </x:c>
      <x:c r="G13" s="9" t="str">
        <x:v>Conclusions</x:v>
      </x:c>
    </x:row>
    <x:row r="14" ht="42" customHeight="1">
      <x:c r="A14" s="9" t="str">
        <x:v>F13</x:v>
      </x:c>
      <x:c r="B14" s="9" t="str">
        <x:v>P04</x:v>
      </x:c>
      <x:c r="C14" s="9" t="str">
        <x:v>Stair position</x:v>
      </x:c>
      <x:c r="D14" s="9" t="str">
        <x:v>Seven staircase/location cases compared</x:v>
      </x:c>
      <x:c r="E14" s="9" t="str">
        <x:v>Compare stair placement alternatives</x:v>
      </x:c>
      <x:c r="F14" s="9" t="str">
        <x:v>Not a universal staircase rule</x:v>
      </x:c>
      <x:c r="G14" s="9" t="str">
        <x:v>Figure 2</x:v>
      </x:c>
    </x:row>
    <x:row r="15" ht="42" customHeight="1">
      <x:c r="A15" s="9" t="str">
        <x:v>F14</x:v>
      </x:c>
      <x:c r="B15" s="9" t="str">
        <x:v>P04</x:v>
      </x:c>
      <x:c r="C15" s="9" t="str">
        <x:v>Zone area</x:v>
      </x:c>
      <x:c r="D15" s="9" t="str">
        <x:v>21 kitchen/bathroom/living configurations tabulated</x:v>
      </x:c>
      <x:c r="E15" s="9" t="str">
        <x:v>Reference candidate zone arrangements</x:v>
      </x:c>
      <x:c r="F15" s="9" t="str">
        <x:v>Simulation only, not legal minima</x:v>
      </x:c>
      <x:c r="G15" s="9" t="str">
        <x:v>Table 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56" hidden="0" customWidth="1"/>
    <x:col min="3" max="3" width="57" hidden="0" customWidth="1"/>
    <x:col min="4" max="4" width="24" hidden="0" customWidth="1"/>
  </x:cols>
  <x:sheetData>
    <x:row r="1" ht="35" customHeight="1">
      <x:c r="A1" s="8" t="str">
        <x:v>Dataset</x:v>
      </x:c>
      <x:c r="B1" s="8" t="str">
        <x:v>Allowed use</x:v>
      </x:c>
      <x:c r="C1" s="8" t="str">
        <x:v>Not allowed</x:v>
      </x:c>
      <x:c r="D1" s="8" t="str">
        <x:v>Legal verification</x:v>
      </x:c>
    </x:row>
    <x:row r="2" ht="42" customHeight="1">
      <x:c r="A2" s="9" t="str">
        <x:v>Room_Dimensions</x:v>
      </x:c>
      <x:c r="B2" s="9" t="str">
        <x:v>Academic simulation input</x:v>
      </x:c>
      <x:c r="C2" s="9" t="str">
        <x:v>Claim as Sri Lankan legal minima</x:v>
      </x:c>
      <x:c r="D2" s="9" t="str">
        <x:v>NOT VERIFIED</x:v>
      </x:c>
    </x:row>
    <x:row r="3" ht="42" customHeight="1">
      <x:c r="A3" s="9" t="str">
        <x:v>Zone_Configurations</x:v>
      </x:c>
      <x:c r="B3" s="9" t="str">
        <x:v>Layout candidate/zone-size exploration</x:v>
      </x:c>
      <x:c r="C3" s="9" t="str">
        <x:v>Claim 21 approved residential plans</x:v>
      </x:c>
      <x:c r="D3" s="9" t="str">
        <x:v>NOT VERIFIED</x:v>
      </x:c>
    </x:row>
    <x:row r="4" ht="42" customHeight="1">
      <x:c r="A4" s="9" t="str">
        <x:v>Design_Findings</x:v>
      </x:c>
      <x:c r="B4" s="9" t="str">
        <x:v>Soft preferences and warnings</x:v>
      </x:c>
      <x:c r="C4" s="9" t="str">
        <x:v>Automatic mandatory compliance pass/fail</x:v>
      </x:c>
      <x:c r="D4" s="9" t="str">
        <x:v>NOT VERIFIED</x:v>
      </x:c>
    </x:row>
    <x:row r="5" ht="42" customHeight="1">
      <x:c r="A5" s="9" t="str">
        <x:v>UDA legal standards (separate)</x:v>
      </x:c>
      <x:c r="B5" s="9" t="str">
        <x:v>Only after Gazette clause, page, jurisdiction and amendments verified</x:v>
      </x:c>
      <x:c r="C5" s="9" t="str">
        <x:v>Merge without source distinction</x:v>
      </x:c>
      <x:c r="D5" s="9" t="str">
        <x:v>PENDING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3" hidden="0" customWidth="1"/>
    <x:col min="3" max="3" width="51" hidden="0" customWidth="1"/>
    <x:col min="4" max="4" width="65" hidden="0" customWidth="1"/>
    <x:col min="5" max="5" width="18" hidden="0" customWidth="1"/>
  </x:cols>
  <x:sheetData>
    <x:row r="1" ht="35" customHeight="1">
      <x:c r="A1" s="8" t="str">
        <x:v>Priority</x:v>
      </x:c>
      <x:c r="B1" s="8" t="str">
        <x:v>Missing dataset</x:v>
      </x:c>
      <x:c r="C1" s="8" t="str">
        <x:v>Why needed</x:v>
      </x:c>
      <x:c r="D1" s="8" t="str">
        <x:v>Next source/action</x:v>
      </x:c>
      <x:c r="E1" s="8" t="str">
        <x:v>Status</x:v>
      </x:c>
    </x:row>
    <x:row r="2" ht="42" customHeight="1">
      <x:c r="A2" s="9" t="str">
        <x:v>HIGH</x:v>
      </x:c>
      <x:c r="B2" s="9" t="str">
        <x:v>Sri Lankan binding room-size standards</x:v>
      </x:c>
      <x:c r="C2" s="9" t="str">
        <x:v>Hard compliance checks</x:v>
      </x:c>
      <x:c r="D2" s="9" t="str">
        <x:v>Verify official UDA Gazette clause + applicable authority</x:v>
      </x:c>
      <x:c r="E2" s="9" t="str">
        <x:v>PENDING</x:v>
      </x:c>
    </x:row>
    <x:row r="3" ht="42" customHeight="1">
      <x:c r="A3" s="9" t="str">
        <x:v>HIGH</x:v>
      </x:c>
      <x:c r="B3" s="9" t="str">
        <x:v>Actual measured local residential plans</x:v>
      </x:c>
      <x:c r="C3" s="9" t="str">
        <x:v>Realistic room arrangement distributions</x:v>
      </x:c>
      <x:c r="D3" s="9" t="str">
        <x:v>Collect permitted architect/case-study plans with dimensions</x:v>
      </x:c>
      <x:c r="E3" s="9" t="str">
        <x:v>PENDING</x:v>
      </x:c>
    </x:row>
    <x:row r="4" ht="42" customHeight="1">
      <x:c r="A4" s="9" t="str">
        <x:v>HIGH</x:v>
      </x:c>
      <x:c r="B4" s="9" t="str">
        <x:v>Additional room types</x:v>
      </x:c>
      <x:c r="C4" s="9" t="str">
        <x:v>Parking, utility, veranda, prayer, store, stair</x:v>
      </x:c>
      <x:c r="D4" s="9" t="str">
        <x:v>Find Sri Lankan measured design evidence</x:v>
      </x:c>
      <x:c r="E4" s="9" t="str">
        <x:v>PENDING</x:v>
      </x:c>
    </x:row>
    <x:row r="5" ht="42" customHeight="1">
      <x:c r="A5" s="9" t="str">
        <x:v>HIGH</x:v>
      </x:c>
      <x:c r="B5" s="9" t="str">
        <x:v>Furniture and circulation clearances</x:v>
      </x:c>
      <x:c r="C5" s="9" t="str">
        <x:v>Furniture-fit and movement validation</x:v>
      </x:c>
      <x:c r="D5" s="9" t="str">
        <x:v>Collect design examples; mark as guidance unless legal</x:v>
      </x:c>
      <x:c r="E5" s="9" t="str">
        <x:v>PENDING</x:v>
      </x:c>
    </x:row>
    <x:row r="6" ht="42" customHeight="1">
      <x:c r="A6" s="9" t="str">
        <x:v>MEDIUM</x:v>
      </x:c>
      <x:c r="B6" s="9" t="str">
        <x:v>Regional climate and orientation</x:v>
      </x:c>
      <x:c r="C6" s="9" t="str">
        <x:v>Jaffna vs wet-zone climate difference</x:v>
      </x:c>
      <x:c r="D6" s="9" t="str">
        <x:v>Obtain Sri Lankan climate evidence</x:v>
      </x:c>
      <x:c r="E6" s="9" t="str">
        <x:v>PENDING</x:v>
      </x:c>
    </x:row>
    <x:row r="7" ht="42" customHeight="1">
      <x:c r="A7" s="9" t="str">
        <x:v>MEDIUM</x:v>
      </x:c>
      <x:c r="B7" s="9" t="str">
        <x:v>Opening and ventilation legal rules</x:v>
      </x:c>
      <x:c r="C7" s="9" t="str">
        <x:v>Window/airwell compliance</x:v>
      </x:c>
      <x:c r="D7" s="9" t="str">
        <x:v>Verify exact Gazette clauses and applicability</x:v>
      </x:c>
      <x:c r="E7" s="9" t="str">
        <x:v>PENDING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5" customHeight="1">
      <x:c r="A1" s="8" t="str">
        <x:v>Field</x:v>
      </x:c>
      <x:c r="B1" s="8" t="str">
        <x:v>Description</x:v>
      </x:c>
    </x:row>
    <x:row r="2" ht="42" customHeight="1">
      <x:c r="A2" s="9" t="str">
        <x:v>Project</x:v>
      </x:c>
      <x:c r="B2" s="9" t="str">
        <x:v>BuildMind | Member 3 | Four-paper academic evidence dataset</x:v>
      </x:c>
    </x:row>
    <x:row r="3" ht="42" customHeight="1">
      <x:c r="A3" s="9" t="str">
        <x:v>Scope</x:v>
      </x:c>
      <x:c r="B3" s="9" t="str">
        <x:v>Sri Lankan university-authored studies only; international-derived dimensional inputs in P04 are labeled, not legal</x:v>
      </x:c>
    </x:row>
    <x:row r="4" ht="42" customHeight="1">
      <x:c r="A4" s="9" t="str">
        <x:v>Room_Dimensions</x:v>
      </x:c>
      <x:c r="B4" s="9" t="str">
        <x:v>Four length/width rows from P04 Table 2; area calculated as length × width</x:v>
      </x:c>
    </x:row>
    <x:row r="5" ht="42" customHeight="1">
      <x:c r="A5" s="9" t="str">
        <x:v>Zone_Configurations</x:v>
      </x:c>
      <x:c r="B5" s="9" t="str">
        <x:v>21 exact numerical combinations transcribed from P04 Table 5</x:v>
      </x:c>
    </x:row>
    <x:row r="6" ht="42" customHeight="1">
      <x:c r="A6" s="9" t="str">
        <x:v>Design_Findings</x:v>
      </x:c>
      <x:c r="B6" s="9" t="str">
        <x:v>14 qualitative/technical research observations across all four PDFs</x:v>
      </x:c>
    </x:row>
    <x:row r="7" ht="42" customHeight="1">
      <x:c r="A7" s="9" t="str">
        <x:v>Source_Register</x:v>
      </x:c>
      <x:c r="B7" s="9" t="str">
        <x:v>Source identity, research sample, study limits, citation</x:v>
      </x:c>
    </x:row>
    <x:row r="8" ht="42" customHeight="1">
      <x:c r="A8" s="9" t="str">
        <x:v>Legal_Separation</x:v>
      </x:c>
      <x:c r="B8" s="9" t="str">
        <x:v>Hard legal rules must remain separate from simulation or case-study evidence</x:v>
      </x:c>
    </x:row>
    <x:row r="9" ht="42" customHeight="1">
      <x:c r="A9" s="9" t="str">
        <x:v>Important</x:v>
      </x:c>
      <x:c r="B9" s="9" t="str">
        <x:v>No AI model training on these 25 numeric records alone; use as curated evidence and prototype test cases</x:v>
      </x:c>
    </x:row>
    <x:row r="10" ht="42" customHeight="1">
      <x:c r="A10" s="9" t="str">
        <x:v>Provenance</x:v>
      </x:c>
      <x:c r="B10" s="9" t="str">
        <x:v>P01/P02/P03 from original PDFs; P04 Table 2 and Table 5 from original PDF text</x:v>
      </x:c>
    </x:row>
    <x:row r="11" ht="42" customHeight="1">
      <x:c r="A11" s="9" t="str">
        <x:v>Compliance disclaimer</x:v>
      </x:c>
      <x:c r="B11" s="9" t="str">
        <x:v>No row in this workbook is certified as a Sri Lankan legal building standard</x:v>
      </x:c>
    </x:row>
  </x:sheetData>
  <x:pageMargins left="0.7" right="0.7" top="0.75" bottom="0.75" header="0.3" footer="0.3"/>
</x:worksheet>
</file>