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6260fba99c40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cept_Room_Sizes" sheetId="1" r:id="Rc5f3cc3137f34b75"/>
    <x:sheet xmlns:r="http://schemas.openxmlformats.org/officeDocument/2006/relationships" name="Furniture_Placeholders" sheetId="2" r:id="R5eb67e675f1d4f09"/>
    <x:sheet xmlns:r="http://schemas.openxmlformats.org/officeDocument/2006/relationships" name="AI_Validation_Rules" sheetId="3" r:id="Rd502bbecfb954f5e"/>
    <x:sheet xmlns:r="http://schemas.openxmlformats.org/officeDocument/2006/relationships" name="Concept_Calculator" sheetId="4" r:id="R0910039b19364938"/>
    <x:sheet xmlns:r="http://schemas.openxmlformats.org/officeDocument/2006/relationships" name="README" sheetId="5" r:id="R7e4dcdc759684b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fa848096ad49dc" /><Relationship Type="http://schemas.openxmlformats.org/officeDocument/2006/relationships/theme" Target="/xl/theme/theme1.xml" Id="Rd238a2190ff544a1" /><Relationship Type="http://schemas.openxmlformats.org/officeDocument/2006/relationships/sharedStrings" Target="/xl/sharedStrings.xml" Id="R759c956d438c46ab" /><Relationship Type="http://schemas.openxmlformats.org/officeDocument/2006/relationships/worksheet" Target="/xl/worksheets/sheet1.xml" Id="Rc5f3cc3137f34b75" /><Relationship Type="http://schemas.openxmlformats.org/officeDocument/2006/relationships/worksheet" Target="/xl/worksheets/sheet2.xml" Id="R5eb67e675f1d4f09" /><Relationship Type="http://schemas.openxmlformats.org/officeDocument/2006/relationships/worksheet" Target="/xl/worksheets/sheet3.xml" Id="Rd502bbecfb954f5e" /><Relationship Type="http://schemas.openxmlformats.org/officeDocument/2006/relationships/worksheet" Target="/xl/worksheets/sheet4.xml" Id="R0910039b19364938" /><Relationship Type="http://schemas.openxmlformats.org/officeDocument/2006/relationships/worksheet" Target="/xl/worksheets/sheet5.xml" Id="R7e4dcdc759684b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19" hidden="0" customWidth="1"/>
    <x:col min="4" max="4" width="19" hidden="0" customWidth="1"/>
    <x:col min="5" max="5" width="16" hidden="0" customWidth="1"/>
    <x:col min="6" max="6" width="33" hidden="0" customWidth="1"/>
    <x:col min="7" max="7" width="22" hidden="0" customWidth="1"/>
    <x:col min="8" max="8" width="18" hidden="0" customWidth="1"/>
    <x:col min="9" max="9" width="48" hidden="0" customWidth="1"/>
  </x:cols>
  <x:sheetData>
    <x:row r="1" ht="32" customHeight="1">
      <x:c r="A1" s="4" t="str">
        <x:v>ID</x:v>
      </x:c>
      <x:c r="B1" s="4" t="str">
        <x:v>Room type</x:v>
      </x:c>
      <x:c r="C1" s="4" t="str">
        <x:v>Concept width (m)</x:v>
      </x:c>
      <x:c r="D1" s="4" t="str">
        <x:v>Concept length (m)</x:v>
      </x:c>
      <x:c r="E1" s="4" t="str">
        <x:v>Area (m²)</x:v>
      </x:c>
      <x:c r="F1" s="4" t="str">
        <x:v>Purpose</x:v>
      </x:c>
      <x:c r="G1" s="4" t="str">
        <x:v>Status</x:v>
      </x:c>
      <x:c r="H1" s="4" t="str">
        <x:v>Legal minimum?</x:v>
      </x:c>
      <x:c r="I1" s="4" t="str">
        <x:v>Notes</x:v>
      </x:c>
    </x:row>
    <x:row r="2">
      <x:c r="A2" t="str">
        <x:v>BM-C01</x:v>
      </x:c>
      <x:c r="B2" t="str">
        <x:v>Bedroom - compact</x:v>
      </x:c>
      <x:c r="C2" t="n">
        <x:v>3</x:v>
      </x:c>
      <x:c r="D2" t="n">
        <x:v>3.3</x:v>
      </x:c>
      <x:c r="E2" t="n">
        <x:v>9.9</x:v>
      </x:c>
      <x:c r="F2" t="str">
        <x:v>Illustrative layout starting point</x:v>
      </x:c>
      <x:c r="G2" t="str">
        <x:v>DESIGN_HEURISTIC</x:v>
      </x:c>
      <x:c r="H2" t="str">
        <x:v>NO</x:v>
      </x:c>
      <x:c r="I2" t="str">
        <x:v>Furniture and door/window placement require testing</x:v>
      </x:c>
    </x:row>
    <x:row r="3">
      <x:c r="A3" t="str">
        <x:v>BM-C02</x:v>
      </x:c>
      <x:c r="B3" t="str">
        <x:v>Bedroom - double</x:v>
      </x:c>
      <x:c r="C3" t="n">
        <x:v>3.3</x:v>
      </x:c>
      <x:c r="D3" t="n">
        <x:v>3.6</x:v>
      </x:c>
      <x:c r="E3" t="n">
        <x:v>11.88</x:v>
      </x:c>
      <x:c r="F3" t="str">
        <x:v>Illustrative layout starting point</x:v>
      </x:c>
      <x:c r="G3" t="str">
        <x:v>DESIGN_HEURISTIC</x:v>
      </x:c>
      <x:c r="H3" t="str">
        <x:v>NO</x:v>
      </x:c>
      <x:c r="I3" t="str">
        <x:v>Check bed access and wardrobe depth</x:v>
      </x:c>
    </x:row>
    <x:row r="4">
      <x:c r="A4" t="str">
        <x:v>BM-C03</x:v>
      </x:c>
      <x:c r="B4" t="str">
        <x:v>Living room - compact</x:v>
      </x:c>
      <x:c r="C4" t="n">
        <x:v>3.6</x:v>
      </x:c>
      <x:c r="D4" t="n">
        <x:v>4.2</x:v>
      </x:c>
      <x:c r="E4" t="n">
        <x:v>15.12</x:v>
      </x:c>
      <x:c r="F4" t="str">
        <x:v>Illustrative layout starting point</x:v>
      </x:c>
      <x:c r="G4" t="str">
        <x:v>DESIGN_HEURISTIC</x:v>
      </x:c>
      <x:c r="H4" t="str">
        <x:v>NO</x:v>
      </x:c>
      <x:c r="I4" t="str">
        <x:v>Depends on seating capacity</x:v>
      </x:c>
    </x:row>
    <x:row r="5">
      <x:c r="A5" t="str">
        <x:v>BM-C04</x:v>
      </x:c>
      <x:c r="B5" t="str">
        <x:v>Dining area - 4 seats</x:v>
      </x:c>
      <x:c r="C5" t="n">
        <x:v>3</x:v>
      </x:c>
      <x:c r="D5" t="n">
        <x:v>3.3</x:v>
      </x:c>
      <x:c r="E5" t="n">
        <x:v>9.9</x:v>
      </x:c>
      <x:c r="F5" t="str">
        <x:v>Illustrative layout starting point</x:v>
      </x:c>
      <x:c r="G5" t="str">
        <x:v>DESIGN_HEURISTIC</x:v>
      </x:c>
      <x:c r="H5" t="str">
        <x:v>NO</x:v>
      </x:c>
      <x:c r="I5" t="str">
        <x:v>Check table and chair pull-out</x:v>
      </x:c>
    </x:row>
    <x:row r="6">
      <x:c r="A6" t="str">
        <x:v>BM-C05</x:v>
      </x:c>
      <x:c r="B6" t="str">
        <x:v>Kitchen - single run</x:v>
      </x:c>
      <x:c r="C6" t="n">
        <x:v>2.4</x:v>
      </x:c>
      <x:c r="D6" t="n">
        <x:v>3</x:v>
      </x:c>
      <x:c r="E6" t="n">
        <x:v>7.2</x:v>
      </x:c>
      <x:c r="F6" t="str">
        <x:v>Illustrative layout starting point</x:v>
      </x:c>
      <x:c r="G6" t="str">
        <x:v>DESIGN_HEURISTIC</x:v>
      </x:c>
      <x:c r="H6" t="str">
        <x:v>NO</x:v>
      </x:c>
      <x:c r="I6" t="str">
        <x:v>Check worktop and aisle geometry</x:v>
      </x:c>
    </x:row>
    <x:row r="7">
      <x:c r="A7" t="str">
        <x:v>BM-C06</x:v>
      </x:c>
      <x:c r="B7" t="str">
        <x:v>Bathroom - compact</x:v>
      </x:c>
      <x:c r="C7" t="n">
        <x:v>1.8</x:v>
      </x:c>
      <x:c r="D7" t="n">
        <x:v>2.1</x:v>
      </x:c>
      <x:c r="E7" t="n">
        <x:v>3.78</x:v>
      </x:c>
      <x:c r="F7" t="str">
        <x:v>Illustrative layout starting point</x:v>
      </x:c>
      <x:c r="G7" t="str">
        <x:v>DESIGN_HEURISTIC</x:v>
      </x:c>
      <x:c r="H7" t="str">
        <x:v>NO</x:v>
      </x:c>
      <x:c r="I7" t="str">
        <x:v>Check fixture arrangement and swing</x:v>
      </x:c>
    </x:row>
    <x:row r="8">
      <x:c r="A8" t="str">
        <x:v>BM-C07</x:v>
      </x:c>
      <x:c r="B8" t="str">
        <x:v>Utility / laundry</x:v>
      </x:c>
      <x:c r="C8" t="n">
        <x:v>1.8</x:v>
      </x:c>
      <x:c r="D8" t="n">
        <x:v>2.4</x:v>
      </x:c>
      <x:c r="E8" t="n">
        <x:v>4.32</x:v>
      </x:c>
      <x:c r="F8" t="str">
        <x:v>Illustrative layout starting point</x:v>
      </x:c>
      <x:c r="G8" t="str">
        <x:v>DESIGN_HEURISTIC</x:v>
      </x:c>
      <x:c r="H8" t="str">
        <x:v>NO</x:v>
      </x:c>
      <x:c r="I8" t="str">
        <x:v>Appliance and circulation check</x:v>
      </x:c>
    </x:row>
    <x:row r="9">
      <x:c r="A9" t="str">
        <x:v>BM-C08</x:v>
      </x:c>
      <x:c r="B9" t="str">
        <x:v>Study</x:v>
      </x:c>
      <x:c r="C9" t="n">
        <x:v>2.7</x:v>
      </x:c>
      <x:c r="D9" t="n">
        <x:v>3</x:v>
      </x:c>
      <x:c r="E9" t="n">
        <x:v>8.1</x:v>
      </x:c>
      <x:c r="F9" t="str">
        <x:v>Illustrative layout starting point</x:v>
      </x:c>
      <x:c r="G9" t="str">
        <x:v>DESIGN_HEURISTIC</x:v>
      </x:c>
      <x:c r="H9" t="str">
        <x:v>NO</x:v>
      </x:c>
      <x:c r="I9" t="str">
        <x:v>Desk and chair access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45" hidden="0" customWidth="1"/>
  </x:cols>
  <x:sheetData>
    <x:row r="1" ht="32" customHeight="1">
      <x:c r="A1" s="4" t="str">
        <x:v>ID</x:v>
      </x:c>
      <x:c r="B1" s="4" t="str">
        <x:v>Object</x:v>
      </x:c>
      <x:c r="C1" s="4" t="str">
        <x:v>Typical placeholder width (m)</x:v>
      </x:c>
      <x:c r="D1" s="4" t="str">
        <x:v>Typical placeholder depth (m)</x:v>
      </x:c>
      <x:c r="E1" s="4" t="str">
        <x:v>Use</x:v>
      </x:c>
      <x:c r="F1" s="4" t="str">
        <x:v>Status</x:v>
      </x:c>
      <x:c r="G1" s="4" t="str">
        <x:v>Verification needed</x:v>
      </x:c>
    </x:row>
    <x:row r="2">
      <x:c r="A2" t="str">
        <x:v>F01</x:v>
      </x:c>
      <x:c r="B2" t="str">
        <x:v>Single bed</x:v>
      </x:c>
      <x:c r="C2" t="n">
        <x:v>0.9</x:v>
      </x:c>
      <x:c r="D2" t="n">
        <x:v>1.9</x:v>
      </x:c>
      <x:c r="E2" t="str">
        <x:v>Initial furniture fit test</x:v>
      </x:c>
      <x:c r="F2" t="str">
        <x:v>ASSUMPTION</x:v>
      </x:c>
      <x:c r="G2" t="str">
        <x:v>Confirm locally available model dimensions</x:v>
      </x:c>
    </x:row>
    <x:row r="3">
      <x:c r="A3" t="str">
        <x:v>F02</x:v>
      </x:c>
      <x:c r="B3" t="str">
        <x:v>Double bed</x:v>
      </x:c>
      <x:c r="C3" t="n">
        <x:v>1.5</x:v>
      </x:c>
      <x:c r="D3" t="n">
        <x:v>1.9</x:v>
      </x:c>
      <x:c r="E3" t="str">
        <x:v>Initial furniture fit test</x:v>
      </x:c>
      <x:c r="F3" t="str">
        <x:v>ASSUMPTION</x:v>
      </x:c>
      <x:c r="G3" t="str">
        <x:v>Confirm mattress and bedframe</x:v>
      </x:c>
    </x:row>
    <x:row r="4">
      <x:c r="A4" t="str">
        <x:v>F03</x:v>
      </x:c>
      <x:c r="B4" t="str">
        <x:v>Wardrobe</x:v>
      </x:c>
      <x:c r="C4" t="n">
        <x:v>1.2</x:v>
      </x:c>
      <x:c r="D4" t="n">
        <x:v>0.6</x:v>
      </x:c>
      <x:c r="E4" t="str">
        <x:v>Initial furniture fit test</x:v>
      </x:c>
      <x:c r="F4" t="str">
        <x:v>ASSUMPTION</x:v>
      </x:c>
      <x:c r="G4" t="str">
        <x:v>Door opening/slider clearance</x:v>
      </x:c>
    </x:row>
    <x:row r="5">
      <x:c r="A5" t="str">
        <x:v>F04</x:v>
      </x:c>
      <x:c r="B5" t="str">
        <x:v>Dining table 4 person</x:v>
      </x:c>
      <x:c r="C5" t="n">
        <x:v>1.2</x:v>
      </x:c>
      <x:c r="D5" t="n">
        <x:v>0.75</x:v>
      </x:c>
      <x:c r="E5" t="str">
        <x:v>Initial furniture fit test</x:v>
      </x:c>
      <x:c r="F5" t="str">
        <x:v>ASSUMPTION</x:v>
      </x:c>
      <x:c r="G5" t="str">
        <x:v>Chair clearances not included</x:v>
      </x:c>
    </x:row>
    <x:row r="6">
      <x:c r="A6" t="str">
        <x:v>F05</x:v>
      </x:c>
      <x:c r="B6" t="str">
        <x:v>Kitchen counter module</x:v>
      </x:c>
      <x:c r="C6" t="n">
        <x:v>0.6</x:v>
      </x:c>
      <x:c r="D6" t="n">
        <x:v>0.6</x:v>
      </x:c>
      <x:c r="E6" t="str">
        <x:v>Initial furniture fit test</x:v>
      </x:c>
      <x:c r="F6" t="str">
        <x:v>ASSUMPTION</x:v>
      </x:c>
      <x:c r="G6" t="str">
        <x:v>Appliance and aisle sizes</x:v>
      </x:c>
    </x:row>
    <x:row r="7">
      <x:c r="A7" t="str">
        <x:v>F06</x:v>
      </x:c>
      <x:c r="B7" t="str">
        <x:v>Desk</x:v>
      </x:c>
      <x:c r="C7" t="n">
        <x:v>1.2</x:v>
      </x:c>
      <x:c r="D7" t="n">
        <x:v>0.6</x:v>
      </x:c>
      <x:c r="E7" t="str">
        <x:v>Initial furniture fit test</x:v>
      </x:c>
      <x:c r="F7" t="str">
        <x:v>ASSUMPTION</x:v>
      </x:c>
      <x:c r="G7" t="str">
        <x:v>Chair clearance not included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43" hidden="0" customWidth="1"/>
    <x:col min="4" max="4" width="58" hidden="0" customWidth="1"/>
    <x:col min="5" max="5" width="25" hidden="0" customWidth="1"/>
    <x:col min="6" max="6" width="26" hidden="0" customWidth="1"/>
    <x:col min="7" max="7" width="54" hidden="0" customWidth="1"/>
  </x:cols>
  <x:sheetData>
    <x:row r="1" ht="32" customHeight="1">
      <x:c r="A1" s="4" t="str">
        <x:v>Rule ID</x:v>
      </x:c>
      <x:c r="B1" s="4" t="str">
        <x:v>Test</x:v>
      </x:c>
      <x:c r="C1" s="4" t="str">
        <x:v>Inputs</x:v>
      </x:c>
      <x:c r="D1" s="4" t="str">
        <x:v>Decision logic</x:v>
      </x:c>
      <x:c r="E1" s="4" t="str">
        <x:v>Output</x:v>
      </x:c>
      <x:c r="F1" s="4" t="str">
        <x:v>Classification</x:v>
      </x:c>
      <x:c r="G1" s="4" t="str">
        <x:v>Implementation note</x:v>
      </x:c>
    </x:row>
    <x:row r="2">
      <x:c r="A2" t="str">
        <x:v>V01</x:v>
      </x:c>
      <x:c r="B2" t="str">
        <x:v>Minimum floor area</x:v>
      </x:c>
      <x:c r="C2" t="str">
        <x:v>Room width, length, verified legal min area</x:v>
      </x:c>
      <x:c r="D2" t="str">
        <x:v>width*length &gt;= applicable min_area</x:v>
      </x:c>
      <x:c r="E2" t="str">
        <x:v>PASS / FAIL</x:v>
      </x:c>
      <x:c r="F2" t="str">
        <x:v>LEGAL_ONLY_IF_VERIFIED</x:v>
      </x:c>
      <x:c r="G2" t="str">
        <x:v>Use exact legal scope, exceptions and current effective source</x:v>
      </x:c>
    </x:row>
    <x:row r="3">
      <x:c r="A3" t="str">
        <x:v>V02</x:v>
      </x:c>
      <x:c r="B3" t="str">
        <x:v>Minimum clear width</x:v>
      </x:c>
      <x:c r="C3" t="str">
        <x:v>Polygon and verified legal min width</x:v>
      </x:c>
      <x:c r="D3" t="str">
        <x:v>geometric minimum clear width &gt;= threshold</x:v>
      </x:c>
      <x:c r="E3" t="str">
        <x:v>PASS / FAIL</x:v>
      </x:c>
      <x:c r="F3" t="str">
        <x:v>LEGAL_ONLY_IF_VERIFIED</x:v>
      </x:c>
      <x:c r="G3" t="str">
        <x:v>Bounding box width may be misleading for irregular rooms</x:v>
      </x:c>
    </x:row>
    <x:row r="4">
      <x:c r="A4" t="str">
        <x:v>V03</x:v>
      </x:c>
      <x:c r="B4" t="str">
        <x:v>Furniture overlap</x:v>
      </x:c>
      <x:c r="C4" t="str">
        <x:v>Furniture polygons and walls</x:v>
      </x:c>
      <x:c r="D4" t="str">
        <x:v>no geometry overlap</x:v>
      </x:c>
      <x:c r="E4" t="str">
        <x:v>PASS / FAIL</x:v>
      </x:c>
      <x:c r="F4" t="str">
        <x:v>DESIGN_HEURISTIC</x:v>
      </x:c>
      <x:c r="G4" t="str">
        <x:v>Door swings and windows also need checking</x:v>
      </x:c>
    </x:row>
    <x:row r="5">
      <x:c r="A5" t="str">
        <x:v>V04</x:v>
      </x:c>
      <x:c r="B5" t="str">
        <x:v>Door opening conflict</x:v>
      </x:c>
      <x:c r="C5" t="str">
        <x:v>Door swing arc and obstacles</x:v>
      </x:c>
      <x:c r="D5" t="str">
        <x:v>no conflict</x:v>
      </x:c>
      <x:c r="E5" t="str">
        <x:v>PASS / FAIL</x:v>
      </x:c>
      <x:c r="F5" t="str">
        <x:v>DESIGN_HEURISTIC</x:v>
      </x:c>
      <x:c r="G5" t="str">
        <x:v>Door width requirements separately sourced</x:v>
      </x:c>
    </x:row>
    <x:row r="6">
      <x:c r="A6" t="str">
        <x:v>V05</x:v>
      </x:c>
      <x:c r="B6" t="str">
        <x:v>Window opening</x:v>
      </x:c>
      <x:c r="C6" t="str">
        <x:v>Room area, window area, openable area</x:v>
      </x:c>
      <x:c r="D6" t="str">
        <x:v>compare to currently verified applicable rule</x:v>
      </x:c>
      <x:c r="E6" t="str">
        <x:v>PASS / FAIL / REVIEW</x:v>
      </x:c>
      <x:c r="F6" t="str">
        <x:v>LEGAL_ONLY_IF_VERIFIED</x:v>
      </x:c>
      <x:c r="G6" t="str">
        <x:v>Do not assume every room follows same ventilation rule</x:v>
      </x:c>
    </x:row>
    <x:row r="7">
      <x:c r="A7" t="str">
        <x:v>V06</x:v>
      </x:c>
      <x:c r="B7" t="str">
        <x:v>Access connectivity</x:v>
      </x:c>
      <x:c r="C7" t="str">
        <x:v>Door graph and corridor graph</x:v>
      </x:c>
      <x:c r="D7" t="str">
        <x:v>every required room accessible</x:v>
      </x:c>
      <x:c r="E7" t="str">
        <x:v>PASS / FAIL</x:v>
      </x:c>
      <x:c r="F7" t="str">
        <x:v>DESIGN_HEURISTIC</x:v>
      </x:c>
      <x:c r="G7" t="str">
        <x:v>Functional adjacency handled by Member 4</x:v>
      </x:c>
    </x:row>
    <x:row r="8">
      <x:c r="A8" t="str">
        <x:v>V07</x:v>
      </x:c>
      <x:c r="B8" t="str">
        <x:v>Local applicability</x:v>
      </x:c>
      <x:c r="C8" t="str">
        <x:v>Site local authority, development plan, regulation date</x:v>
      </x:c>
      <x:c r="D8" t="str">
        <x:v>check rule applicability before enforcement</x:v>
      </x:c>
      <x:c r="E8" t="str">
        <x:v>APPLICABLE / REVIEW</x:v>
      </x:c>
      <x:c r="F8" t="str">
        <x:v>LEGAL_RESEARCH</x:v>
      </x:c>
      <x:c r="G8" t="str">
        <x:v>Escalate uncertain cases to human reviewer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24" hidden="0" customWidth="1"/>
    <x:col min="5" max="5" width="25" hidden="0" customWidth="1"/>
    <x:col min="6" max="6" width="25" hidden="0" customWidth="1"/>
    <x:col min="7" max="7" width="50" hidden="0" customWidth="1"/>
  </x:cols>
  <x:sheetData>
    <x:row r="1" ht="32" customHeight="1">
      <x:c r="A1" s="4" t="str">
        <x:v>Example</x:v>
      </x:c>
      <x:c r="B1" s="4" t="str">
        <x:v>Width m</x:v>
      </x:c>
      <x:c r="C1" s="4" t="str">
        <x:v>Length m</x:v>
      </x:c>
      <x:c r="D1" s="4" t="str">
        <x:v>Calculated area m²</x:v>
      </x:c>
      <x:c r="E1" s="4" t="str">
        <x:v>Concept target area m²</x:v>
      </x:c>
      <x:c r="F1" s="4" t="str">
        <x:v>Concept-only result</x:v>
      </x:c>
      <x:c r="G1" s="4" t="str">
        <x:v>Important</x:v>
      </x:c>
    </x:row>
    <x:row r="2">
      <x:c r="A2" t="str">
        <x:v>Compact bedroom</x:v>
      </x:c>
      <x:c r="B2" t="n">
        <x:v>3</x:v>
      </x:c>
      <x:c r="C2" t="n">
        <x:v>3.3</x:v>
      </x:c>
      <x:c r="D2" t="n">
        <x:f>B2*C2</x:f>
        <x:v>9.899999999999999</x:v>
      </x:c>
      <x:c r="E2" t="n">
        <x:v>9.9</x:v>
      </x:c>
      <x:c r="F2" t="str">
        <x:f>IF(D2&gt;=E2,"MEETS CONCEPT","BELOW CONCEPT")</x:f>
        <x:v>MEETS CONCEPT</x:v>
      </x:c>
      <x:c r="G2" t="str">
        <x:v>Concept target is not a legal minimum</x:v>
      </x:c>
    </x:row>
    <x:row r="3">
      <x:c r="A3" t="str">
        <x:v>Double bedroom</x:v>
      </x:c>
      <x:c r="B3" t="n">
        <x:v>3.3</x:v>
      </x:c>
      <x:c r="C3" t="n">
        <x:v>3.6</x:v>
      </x:c>
      <x:c r="D3" t="n">
        <x:f>B3*C3</x:f>
        <x:v>11.879999999999999</x:v>
      </x:c>
      <x:c r="E3" t="n">
        <x:v>11.88</x:v>
      </x:c>
      <x:c r="F3" t="str">
        <x:f>IF(D3&gt;=E3,"MEETS CONCEPT","BELOW CONCEPT")</x:f>
        <x:v>MEETS CONCEPT</x:v>
      </x:c>
      <x:c r="G3" t="str">
        <x:v>Must validate actual legal room classification</x:v>
      </x:c>
    </x:row>
    <x:row r="4">
      <x:c r="A4" t="str">
        <x:v>Compact kitchen</x:v>
      </x:c>
      <x:c r="B4" t="n">
        <x:v>2.4</x:v>
      </x:c>
      <x:c r="C4" t="n">
        <x:v>3</x:v>
      </x:c>
      <x:c r="D4" t="n">
        <x:f>B4*C4</x:f>
        <x:v>7.199999999999999</x:v>
      </x:c>
      <x:c r="E4" t="n">
        <x:v>7.2</x:v>
      </x:c>
      <x:c r="F4" t="str">
        <x:f>IF(D4&gt;=E4,"MEETS CONCEPT","BELOW CONCEPT")</x:f>
        <x:v>MEETS CONCEPT</x:v>
      </x:c>
      <x:c r="G4" t="str">
        <x:v>Verify UDA source before legal check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15" hidden="0" customWidth="1"/>
  </x:cols>
  <x:sheetData>
    <x:row r="1" ht="32" customHeight="1">
      <x:c r="A1" s="4" t="str">
        <x:v>Topic</x:v>
      </x:c>
      <x:c r="B1" s="4" t="str">
        <x:v>Description</x:v>
      </x:c>
    </x:row>
    <x:row r="2">
      <x:c r="A2" t="str">
        <x:v>Purpose</x:v>
      </x:c>
      <x:c r="B2" t="str">
        <x:v>Stage 3: initial room layout design hypotheses and AI validation design.</x:v>
      </x:c>
    </x:row>
    <x:row r="3">
      <x:c r="A3" t="str">
        <x:v>Legal status</x:v>
      </x:c>
      <x:c r="B3" t="str">
        <x:v>NOT a legal standard dataset. No values in Concept_Room_Sizes or Furniture_Placeholders are claimed to come from the UDA Gazette.</x:v>
      </x:c>
    </x:row>
    <x:row r="4">
      <x:c r="A4" t="str">
        <x:v>Source basis</x:v>
      </x:c>
      <x:c r="B4" t="str">
        <x:v>User project scope and generic illustrative design assumptions; independent official citations still required for binding constraints.</x:v>
      </x:c>
    </x:row>
    <x:row r="5">
      <x:c r="A5" t="str">
        <x:v>Prior dataset</x:v>
      </x:c>
      <x:c r="B5" t="str">
        <x:v>Keep Stage 2 UDA-extracted workbook separately; this Stage 3 file does not overwrite or merge those records.</x:v>
      </x:c>
    </x:row>
    <x:row r="6">
      <x:c r="A6" t="str">
        <x:v>AI training safety</x:v>
      </x:c>
      <x:c r="B6" t="str">
        <x:v>Do not train or label heuristic sizes as mandatory legal minima; keep provenance/status columns.</x:v>
      </x:c>
    </x:row>
    <x:row r="7">
      <x:c r="A7" t="str">
        <x:v>Next research</x:v>
      </x:c>
      <x:c r="B7" t="str">
        <x:v>Validate room planning recommendations with architectural design references and Sri Lankan practice; review current amendments and applicable development plan.</x:v>
      </x:c>
    </x:row>
    <x:row r="8">
      <x:c r="A8" t="str">
        <x:v>Calculation</x:v>
      </x:c>
      <x:c r="B8" t="str">
        <x:v>Concept_Calculator compares dimensions to a nonbinding concept target only.</x:v>
      </x:c>
    </x:row>
  </x:sheetData>
  <x:pageMargins left="0.7" right="0.7" top="0.75" bottom="0.75" header="0.3" footer="0.3"/>
</x:worksheet>
</file>